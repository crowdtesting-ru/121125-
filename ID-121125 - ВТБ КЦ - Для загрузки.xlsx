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>
    <definedName hidden="1" localSheetId="0" name="_xlnm._FilterDatabase">'Отобранные участники'!$A$1:$AA$305</definedName>
  </definedNames>
  <calcPr/>
</workbook>
</file>

<file path=xl/sharedStrings.xml><?xml version="1.0" encoding="utf-8"?>
<sst xmlns="http://schemas.openxmlformats.org/spreadsheetml/2006/main" count="4833" uniqueCount="927">
  <si>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</si>
  <si>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</si>
  <si>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</si>
  <si>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</si>
  <si>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</si>
  <si>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</si>
  <si>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</si>
  <si>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</si>
  <si>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</si>
  <si>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</si>
  <si>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</si>
  <si>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</si>
  <si>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</si>
  <si>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</si>
  <si>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</si>
  <si>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</si>
  <si>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</si>
  <si>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</si>
  <si>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</si>
  <si>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</si>
  <si>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</si>
  <si>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</si>
  <si>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</si>
  <si>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</si>
  <si>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</si>
  <si>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</si>
  <si>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</si>
  <si>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</si>
  <si>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</si>
  <si>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</si>
  <si>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</si>
  <si>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</si>
  <si>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</si>
  <si>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</si>
  <si>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</si>
  <si>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</si>
  <si>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</si>
  <si>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</si>
  <si>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</si>
  <si>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</si>
  <si>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</si>
  <si>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</si>
  <si>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</si>
  <si>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</si>
  <si>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</si>
  <si>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</si>
  <si>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</si>
  <si>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</si>
  <si>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</si>
  <si>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</si>
  <si>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</si>
  <si>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</si>
  <si>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</si>
  <si>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</si>
  <si>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</si>
  <si>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</si>
  <si>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</si>
  <si>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</si>
  <si>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</si>
  <si>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</si>
  <si>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</si>
  <si>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</si>
  <si>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</si>
  <si>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</si>
  <si>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</si>
  <si>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</si>
  <si>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</si>
  <si>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</si>
  <si>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</si>
  <si>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</si>
  <si>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</si>
  <si>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</si>
  <si>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</si>
  <si>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</si>
  <si>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</si>
  <si>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</si>
  <si>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</si>
  <si>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</si>
  <si>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</si>
  <si>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</si>
  <si>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</si>
  <si>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</si>
  <si>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</si>
  <si>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</si>
  <si>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</si>
  <si>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</si>
  <si>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Выбыл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</si>
  <si>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</si>
  <si>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</si>
  <si>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</si>
  <si>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</si>
  <si>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</si>
  <si>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</si>
  <si>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</si>
  <si>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</si>
  <si>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</si>
  <si>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</si>
  <si>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</si>
  <si>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</si>
  <si>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</si>
  <si>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</si>
  <si>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</si>
  <si>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</si>
  <si>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</si>
  <si>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</si>
  <si>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</si>
  <si>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</si>
  <si>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</si>
  <si>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</si>
  <si>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</si>
  <si>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</si>
  <si>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</si>
  <si>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</si>
  <si>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</si>
  <si>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</si>
  <si>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</si>
  <si>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</si>
  <si>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</si>
  <si>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</si>
  <si>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</si>
  <si>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</si>
  <si>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</si>
  <si>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</si>
  <si>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</si>
  <si>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</si>
  <si>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</si>
  <si>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</si>
  <si>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</si>
  <si>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</si>
  <si>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</si>
  <si>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</si>
  <si>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</si>
  <si>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</si>
  <si>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</si>
  <si>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</si>
  <si>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</si>
  <si>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</si>
  <si>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</si>
  <si>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</si>
  <si>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</si>
  <si>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</si>
  <si>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</si>
  <si>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</si>
  <si>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</si>
  <si>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</si>
  <si>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</si>
  <si>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</si>
  <si>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</si>
  <si>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</si>
  <si>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</si>
  <si>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</si>
  <si>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</si>
  <si>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</si>
  <si>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</si>
  <si>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</si>
  <si>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</si>
  <si>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</si>
  <si>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</si>
  <si>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</si>
  <si>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</si>
  <si>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</si>
  <si>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</si>
  <si>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</si>
  <si>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</si>
  <si>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</si>
  <si>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</si>
  <si>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</si>
  <si>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</si>
  <si>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</si>
  <si>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</si>
  <si>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</si>
  <si>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</si>
  <si>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</si>
  <si>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</si>
  <si>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</si>
  <si>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</si>
  <si>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</si>
  <si>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</si>
  <si>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</si>
  <si>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</si>
  <si>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</si>
  <si>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</si>
  <si>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</si>
  <si>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</si>
  <si>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</si>
  <si>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</si>
  <si>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</si>
  <si>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</si>
  <si>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</si>
  <si>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</si>
  <si>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</si>
  <si>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</si>
  <si>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</si>
  <si>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</si>
  <si>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</si>
  <si>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</si>
  <si>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</si>
  <si>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</si>
  <si>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</si>
  <si>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</si>
  <si>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</si>
  <si>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</si>
  <si>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</si>
  <si>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</si>
  <si>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</si>
  <si>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</si>
  <si>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</si>
  <si>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</si>
  <si>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</si>
  <si>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</si>
  <si>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</si>
  <si>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</si>
  <si>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</si>
  <si>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</si>
  <si>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</si>
  <si>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</si>
  <si>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</si>
  <si>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</si>
  <si>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</si>
  <si>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</si>
  <si>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</si>
  <si>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</si>
  <si>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</si>
  <si>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</si>
  <si>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</si>
  <si>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</si>
  <si>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</si>
  <si>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</si>
  <si>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</si>
  <si>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</si>
  <si>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</si>
  <si>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</si>
  <si>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</si>
  <si>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</si>
  <si>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</si>
  <si>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</si>
  <si>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</si>
  <si>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</si>
  <si>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</si>
  <si>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</si>
  <si>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</si>
  <si>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</si>
  <si>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</si>
  <si>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</si>
  <si>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</si>
  <si>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</si>
  <si>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</si>
  <si>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</si>
  <si>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</si>
  <si>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</si>
  <si>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</si>
  <si>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</si>
  <si>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</si>
  <si>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</si>
  <si>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</si>
  <si>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</si>
  <si>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</si>
  <si>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</si>
  <si>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</si>
  <si>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</si>
  <si>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</si>
  <si>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</si>
  <si>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</si>
  <si>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</si>
  <si>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</si>
  <si>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</si>
  <si>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</si>
  <si>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</si>
  <si>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</si>
  <si>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</si>
  <si>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</si>
  <si>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</si>
  <si>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</si>
  <si>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</si>
  <si>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</si>
  <si>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</si>
  <si>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</si>
  <si>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</si>
  <si>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</si>
  <si>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</si>
  <si>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</si>
  <si>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</si>
  <si>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</si>
  <si>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</si>
  <si>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</si>
  <si>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</si>
  <si>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</si>
  <si>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</si>
  <si>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</si>
  <si>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</si>
  <si>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</si>
  <si>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</si>
  <si>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</si>
  <si>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</si>
  <si>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</si>
  <si>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</si>
  <si>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</si>
  <si>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</si>
  <si>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</si>
  <si>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</si>
  <si>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</si>
  <si>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</si>
  <si>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</si>
  <si>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</si>
  <si>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</si>
  <si>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</si>
  <si>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</si>
  <si>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</si>
  <si>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</si>
  <si>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</si>
  <si>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</si>
  <si>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</si>
  <si>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</si>
  <si>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</si>
  <si>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</si>
  <si>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</si>
  <si>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</si>
  <si>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</si>
  <si>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</si>
  <si>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</si>
  <si>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</si>
  <si>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</si>
  <si>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</si>
  <si>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</si>
  <si>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</si>
  <si>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</si>
  <si>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</si>
  <si>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</si>
  <si>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</si>
  <si>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</si>
  <si>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</si>
  <si>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</si>
  <si>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</si>
  <si>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</si>
  <si>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</si>
  <si>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</si>
  <si>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</si>
  <si>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</si>
  <si>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</si>
  <si>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</si>
  <si>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</si>
  <si>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</si>
  <si>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</si>
  <si>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</si>
  <si>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</si>
  <si>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</si>
  <si>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</si>
  <si>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</si>
  <si>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</si>
  <si>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</si>
  <si>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</si>
  <si>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</si>
  <si>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</si>
  <si>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</si>
  <si>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</si>
  <si>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</si>
  <si>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</si>
  <si>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</si>
  <si>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</si>
  <si>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</si>
  <si>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</si>
  <si>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</si>
  <si>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</si>
  <si>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</si>
  <si>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</si>
  <si>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</si>
  <si>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</si>
  <si>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</si>
  <si>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</si>
  <si>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</si>
  <si>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</si>
  <si>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</si>
  <si>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</si>
  <si>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</si>
  <si>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</si>
  <si>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</si>
  <si>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</si>
  <si>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</si>
  <si>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</si>
  <si>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</si>
  <si>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</si>
  <si>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</si>
  <si>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</si>
  <si>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</si>
  <si>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</si>
  <si>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</si>
  <si>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</si>
  <si>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</si>
  <si>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</si>
  <si>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</si>
  <si>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</si>
  <si>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</si>
  <si>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</si>
  <si>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</si>
  <si>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</si>
  <si>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</si>
  <si>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</si>
  <si>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</si>
  <si>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</si>
  <si>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</si>
  <si>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</si>
  <si>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</si>
  <si>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</si>
  <si>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</si>
  <si>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</si>
  <si>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</si>
  <si>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</si>
  <si>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</si>
  <si>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</si>
  <si>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</si>
  <si>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</si>
  <si>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</si>
  <si>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</si>
  <si>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</si>
  <si>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</si>
  <si>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</si>
  <si>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</si>
  <si>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</si>
  <si>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</si>
  <si>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</si>
  <si>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</si>
  <si>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</si>
  <si>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</si>
  <si>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</si>
  <si>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</si>
  <si>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</si>
  <si>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</si>
  <si>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</si>
  <si>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</si>
  <si>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</si>
  <si>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</si>
  <si>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</si>
  <si>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</si>
  <si>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</si>
  <si>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</si>
  <si>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</si>
  <si>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</si>
  <si>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</si>
  <si>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</si>
  <si>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</si>
  <si>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</si>
  <si>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</si>
  <si>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</si>
  <si>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</si>
  <si>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</si>
  <si>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</si>
  <si>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</si>
  <si>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</si>
  <si>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</si>
  <si>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</si>
  <si>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</si>
  <si>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</si>
  <si>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</si>
  <si>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</si>
  <si>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</si>
  <si>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</si>
  <si>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</si>
  <si>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</si>
  <si>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</si>
  <si>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</si>
  <si>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</si>
  <si>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</si>
  <si>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</si>
  <si>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</si>
  <si>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</si>
  <si>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</si>
  <si>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</si>
  <si>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</si>
  <si>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</si>
  <si>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</si>
  <si>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</si>
  <si>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</si>
  <si>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</si>
  <si>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</si>
  <si>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</si>
  <si>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</si>
  <si>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</si>
  <si>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</si>
  <si>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</si>
  <si>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</si>
  <si>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</si>
  <si>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</si>
  <si>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</si>
  <si>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</si>
  <si>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</si>
  <si>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</si>
  <si>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</si>
  <si>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</si>
  <si>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</si>
  <si>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</si>
  <si>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</si>
  <si>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</si>
  <si>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</si>
  <si>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</si>
  <si>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</si>
  <si>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</si>
  <si>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</si>
  <si>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</si>
  <si>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</si>
  <si>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</si>
  <si>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</si>
  <si>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</si>
  <si>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</si>
  <si>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</si>
  <si>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</si>
  <si>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</si>
  <si>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</si>
  <si>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</si>
  <si>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</si>
  <si>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</si>
  <si>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</si>
  <si>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</si>
  <si>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</si>
  <si>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</si>
  <si>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</si>
  <si>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</si>
  <si>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</si>
  <si>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</si>
  <si>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</si>
  <si>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</si>
  <si>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</si>
  <si>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</si>
  <si>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</si>
  <si>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</si>
  <si>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</si>
  <si>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</si>
  <si>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</si>
  <si>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</si>
  <si>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</si>
  <si>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</si>
  <si>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</si>
  <si>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</si>
  <si>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</si>
  <si>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</si>
  <si>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</si>
  <si>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</si>
  <si>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</si>
  <si>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</si>
  <si>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</si>
  <si>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</si>
  <si>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</si>
  <si>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</si>
  <si>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</si>
  <si>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</si>
  <si>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</si>
  <si>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</si>
  <si>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</si>
  <si>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</si>
  <si>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</si>
  <si>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</si>
  <si>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</si>
  <si>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</si>
  <si>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</si>
  <si>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</si>
  <si>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</si>
  <si>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</si>
  <si>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</si>
  <si>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</si>
  <si>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</si>
  <si>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</si>
  <si>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</si>
  <si>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</si>
  <si>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</si>
  <si>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</si>
  <si>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</si>
  <si>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</si>
  <si>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</si>
  <si>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</si>
  <si>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</si>
  <si>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</si>
  <si>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</si>
  <si>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</si>
  <si>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</si>
  <si>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</si>
  <si>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</si>
  <si>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</si>
  <si>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</si>
  <si>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</si>
  <si>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</si>
  <si>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</si>
  <si>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</si>
  <si>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</si>
  <si>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</si>
  <si>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</si>
  <si>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</si>
  <si>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</si>
  <si>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</si>
  <si>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</si>
  <si>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</si>
  <si>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</si>
  <si>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</si>
  <si>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</si>
  <si>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</si>
  <si>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</si>
  <si>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</si>
  <si>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</si>
  <si>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</si>
  <si>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</si>
  <si>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</si>
  <si>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</si>
  <si>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</si>
  <si>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</si>
  <si>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</si>
  <si>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</si>
  <si>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</si>
  <si>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</si>
  <si>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</si>
  <si>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</si>
  <si>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</si>
  <si>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</si>
  <si>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</si>
  <si>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</si>
  <si>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</si>
  <si>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</si>
  <si>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</si>
  <si>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</si>
  <si>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</si>
  <si>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</si>
  <si>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</si>
  <si>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</si>
  <si>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</si>
  <si>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</si>
  <si>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</si>
  <si>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</si>
  <si>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</si>
  <si>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</si>
  <si>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</si>
  <si>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</si>
  <si>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</si>
  <si>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</si>
  <si>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</si>
  <si>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</si>
  <si>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</si>
  <si>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</si>
  <si>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</si>
  <si>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</si>
  <si>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</si>
  <si>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</si>
  <si>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</si>
  <si>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</si>
  <si>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</si>
  <si>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</si>
  <si>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</si>
  <si>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</si>
  <si>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</si>
  <si>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</si>
  <si>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</si>
  <si>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</si>
  <si>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</si>
  <si>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</si>
  <si>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</si>
  <si>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</si>
  <si>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</si>
  <si>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</si>
  <si>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</si>
  <si>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</si>
  <si>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</si>
  <si>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</si>
  <si>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</si>
  <si>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</si>
  <si>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Ульянова Дарья Павловна</t>
  </si>
  <si>
    <t>https://t.me/Nastysha_0205</t>
  </si>
  <si>
    <t>Салават</t>
  </si>
  <si>
    <t>Кулешова Надежда Петровна</t>
  </si>
  <si>
    <t>https://t.me/zanozkin</t>
  </si>
  <si>
    <t>Асадулин Алексей Алексеевич</t>
  </si>
  <si>
    <t>@Aleksey_05</t>
  </si>
  <si>
    <t>Энгельс</t>
  </si>
  <si>
    <t>Берестов Сергей Юрьевич</t>
  </si>
  <si>
    <t>@Berestov_Sergey</t>
  </si>
  <si>
    <t>Болмат Максим Алексеевич</t>
  </si>
  <si>
    <t>@coconana512</t>
  </si>
  <si>
    <t>Ростовская область</t>
  </si>
  <si>
    <t>Таганрог</t>
  </si>
  <si>
    <t>Борисова Дарья Алексеевна</t>
  </si>
  <si>
    <t>https://t.me/dainerissss</t>
  </si>
  <si>
    <t>Горбушин Дмитрий Андреевич</t>
  </si>
  <si>
    <t>https://t.me/D1men1r</t>
  </si>
  <si>
    <t>Дворецкий Дмитрий Викторович</t>
  </si>
  <si>
    <t>https://t.me/zzomer</t>
  </si>
  <si>
    <t>Демьянович Николай Олегович</t>
  </si>
  <si>
    <t>https://t.me/nick.demy</t>
  </si>
  <si>
    <t>Балаково</t>
  </si>
  <si>
    <t>Чиквиладзе Лали Левановна</t>
  </si>
  <si>
    <t>@LaLi19_07</t>
  </si>
  <si>
    <t>Бомеева Екатерина Сергеевна</t>
  </si>
  <si>
    <t>https://t.me/Katrin_rzn</t>
  </si>
  <si>
    <t xml:space="preserve">Рязанская область </t>
  </si>
  <si>
    <t xml:space="preserve">Рязань </t>
  </si>
  <si>
    <t>Гарипова Асия Жаудатовна</t>
  </si>
  <si>
    <t>https://t.me/etelindaaa</t>
  </si>
  <si>
    <t>Воронков Алексей Павлович</t>
  </si>
  <si>
    <t>@patriot9000</t>
  </si>
  <si>
    <t>Еврасов Антон Александрович</t>
  </si>
  <si>
    <t>@Anton_Evrasov</t>
  </si>
  <si>
    <t>Карпенко Людмила Константиновна</t>
  </si>
  <si>
    <t>Lusik88</t>
  </si>
  <si>
    <t>Поминов Максим Александрович</t>
  </si>
  <si>
    <t>https://t.me/Pominov29</t>
  </si>
  <si>
    <t>Соломатов Артем Андреевич</t>
  </si>
  <si>
    <t>@Korroder</t>
  </si>
  <si>
    <t>Ильина Марина Владимировна</t>
  </si>
  <si>
    <t xml:space="preserve">@zxxfor2na </t>
  </si>
  <si>
    <t>Летунов Юрий Николаевич</t>
  </si>
  <si>
    <t>https://t.me/letun15</t>
  </si>
  <si>
    <t>Курганская область</t>
  </si>
  <si>
    <t>Курган</t>
  </si>
  <si>
    <t>Алиуллов Ринат Наилевич</t>
  </si>
  <si>
    <t xml:space="preserve">Татарстан </t>
  </si>
  <si>
    <t>Булатова Татьяна Дмитриевна</t>
  </si>
  <si>
    <t>@tdmitrievna</t>
  </si>
  <si>
    <t>Тюфтяева Мария Андреевна</t>
  </si>
  <si>
    <t>@masha_tf</t>
  </si>
  <si>
    <t>Нижегородский</t>
  </si>
  <si>
    <t>Степанова Наталья Сергеевна</t>
  </si>
  <si>
    <t xml:space="preserve">@st_ns </t>
  </si>
  <si>
    <t xml:space="preserve">Ульяновская обл </t>
  </si>
  <si>
    <t xml:space="preserve">Ульяновск </t>
  </si>
  <si>
    <t>Гомоюнова Дарья Олеговна</t>
  </si>
  <si>
    <t xml:space="preserve">@Daria_Gomoiunova </t>
  </si>
  <si>
    <t xml:space="preserve">Иркутск </t>
  </si>
  <si>
    <t>Кудинов Кирилл Юрьевич</t>
  </si>
  <si>
    <t>https://t.me/NecrisPhayder</t>
  </si>
  <si>
    <t>Юркина Марина Андреевна</t>
  </si>
  <si>
    <t>@Marina881712</t>
  </si>
  <si>
    <t xml:space="preserve">Каменск-Уральский </t>
  </si>
  <si>
    <t>Пак Валерия Тесуевна</t>
  </si>
  <si>
    <t>профиль - @IPValeriya</t>
  </si>
  <si>
    <t>Величко Елена Андреевна</t>
  </si>
  <si>
    <t>@HelenVelichko89</t>
  </si>
  <si>
    <t>Плиткина Елена Николаевна</t>
  </si>
  <si>
    <t>@EeLenaPl</t>
  </si>
  <si>
    <t xml:space="preserve">Санкт-Петербург и Ленинградская обл </t>
  </si>
  <si>
    <t>Копылов Андрей Александрович</t>
  </si>
  <si>
    <t>@BearBeerBee</t>
  </si>
  <si>
    <t>Смоленская область</t>
  </si>
  <si>
    <t>Смоленск</t>
  </si>
  <si>
    <t>Брант Полина Борисовна</t>
  </si>
  <si>
    <t>@PolinaBrant</t>
  </si>
  <si>
    <t>Щербакова Татьяна Дмитриевна</t>
  </si>
  <si>
    <t>@Tanya_Sherba</t>
  </si>
  <si>
    <t>Наро-Фоминск</t>
  </si>
  <si>
    <t>Чебыкина Юлия Александровна</t>
  </si>
  <si>
    <t>https://t.me/YaMusenka</t>
  </si>
  <si>
    <t>Булатова Елена Анатольевна</t>
  </si>
  <si>
    <t>@elenabulatti</t>
  </si>
  <si>
    <t>Терещенко Юрий Андреевич</t>
  </si>
  <si>
    <t xml:space="preserve">t.me/uriyter </t>
  </si>
  <si>
    <t>Дмитриева Олеся Владимировна</t>
  </si>
  <si>
    <t>Olani11</t>
  </si>
  <si>
    <t>Галикеева Алсу Ильгизаровна</t>
  </si>
  <si>
    <t>@internationaltradin</t>
  </si>
  <si>
    <t>Удмуртская республика</t>
  </si>
  <si>
    <t>Овчинникова Марина Дмитриевна</t>
  </si>
  <si>
    <t xml:space="preserve">https://t.me/mariov </t>
  </si>
  <si>
    <t>Шумакова Юлия Юрьевна</t>
  </si>
  <si>
    <t>@YuliyaZN3</t>
  </si>
  <si>
    <t xml:space="preserve">Амурская область </t>
  </si>
  <si>
    <t xml:space="preserve">Благовещенск </t>
  </si>
  <si>
    <t>Филатова Анастасия Алексеевна</t>
  </si>
  <si>
    <t>https://t.me/filatovanastasia</t>
  </si>
  <si>
    <t>г. Саратов</t>
  </si>
  <si>
    <t>Попова Анна Александровна</t>
  </si>
  <si>
    <t>@NoyaFox</t>
  </si>
  <si>
    <t>Селиванова Татьяна Викторовна</t>
  </si>
  <si>
    <t>https://t.me/TSela_V</t>
  </si>
  <si>
    <t xml:space="preserve">Красноярск </t>
  </si>
  <si>
    <t>Пышный Евгений Александрович</t>
  </si>
  <si>
    <t>@jimmy_lanski</t>
  </si>
  <si>
    <t>Чернушка</t>
  </si>
  <si>
    <t>Голубцова Дарья Сергеевна</t>
  </si>
  <si>
    <t>@Urrrnicorn</t>
  </si>
  <si>
    <t>Заморова Анастасия Леонидовна</t>
  </si>
  <si>
    <t xml:space="preserve"> https://t.me/Anestych</t>
  </si>
  <si>
    <t>Псковская область</t>
  </si>
  <si>
    <t>Великие Луки</t>
  </si>
  <si>
    <t>Камалетдинов Ильдар Насыхович</t>
  </si>
  <si>
    <t>https://t.me/Ildar_kamaletdinow</t>
  </si>
  <si>
    <t>Ошмарина Светлана Николаевна</t>
  </si>
  <si>
    <t>t.me/oshmarinasvetlana</t>
  </si>
  <si>
    <t>Утюшева Анна Рашидовна</t>
  </si>
  <si>
    <t>@Anna86_U</t>
  </si>
  <si>
    <t xml:space="preserve">Липецкая обл </t>
  </si>
  <si>
    <t xml:space="preserve">Липецк </t>
  </si>
  <si>
    <t>Лобко Кристина Александровна</t>
  </si>
  <si>
    <t>https://t.me/Kristina_971</t>
  </si>
  <si>
    <t>Белов Александр Сергеевич</t>
  </si>
  <si>
    <t>@belovsan_87</t>
  </si>
  <si>
    <t xml:space="preserve">Нижегородский </t>
  </si>
  <si>
    <t>Горячева Элла Юрьевна</t>
  </si>
  <si>
    <t xml:space="preserve">https://t.me/ella15012 </t>
  </si>
  <si>
    <t xml:space="preserve">Ярославль </t>
  </si>
  <si>
    <t>Кузнецова Татьяна Викторовна</t>
  </si>
  <si>
    <t>https://t.me/TianaSmit85</t>
  </si>
  <si>
    <t>Кушниренко Вячеслав Леонидович</t>
  </si>
  <si>
    <t>VyacheslavKushn</t>
  </si>
  <si>
    <t>Ростов-на-Дону х</t>
  </si>
  <si>
    <t>Харькова Надежда Александровна</t>
  </si>
  <si>
    <t>@nadya13523</t>
  </si>
  <si>
    <t>Викторова Дарья Александровна</t>
  </si>
  <si>
    <t>https://t.me/DariaViktorova</t>
  </si>
  <si>
    <t>Вологда</t>
  </si>
  <si>
    <t>Скиба Ирина Викторовна</t>
  </si>
  <si>
    <t>@skibaby4</t>
  </si>
  <si>
    <t>Аношкина Светлана Андреевна</t>
  </si>
  <si>
    <t>https://t.me/Sweet_Dream2188</t>
  </si>
  <si>
    <t>МО</t>
  </si>
  <si>
    <t>Люберцы</t>
  </si>
  <si>
    <t>Фазлиахметова Айгуль Мударисовна</t>
  </si>
  <si>
    <t xml:space="preserve">https://t.me/Moonflower5791 </t>
  </si>
  <si>
    <t xml:space="preserve">Республика Татарстан </t>
  </si>
  <si>
    <t>Синицына Анна Сергеевна</t>
  </si>
  <si>
    <t>t.me/Anna_Sinic</t>
  </si>
  <si>
    <t>Селезнев Вадим Михайлович</t>
  </si>
  <si>
    <t>https://t.me/martymcflysdog</t>
  </si>
  <si>
    <t>Пищулина София Алексеевна</t>
  </si>
  <si>
    <t>https://t.me/SonyaGS</t>
  </si>
  <si>
    <t>Арефьев Юрий Юрьевич</t>
  </si>
  <si>
    <t>Ершова алена николаевна</t>
  </si>
  <si>
    <t>@bri_212</t>
  </si>
  <si>
    <t>Ниж.область</t>
  </si>
  <si>
    <t>Нижний новгород</t>
  </si>
  <si>
    <t>Толмачева Анна Сергеевна</t>
  </si>
  <si>
    <t>@Tolmacheva_Anna_S</t>
  </si>
  <si>
    <t>Даценко Елена Николаевна</t>
  </si>
  <si>
    <t>https://t.me/ElenaDatsenko</t>
  </si>
  <si>
    <t>Протвино</t>
  </si>
  <si>
    <t>Желтова Анна Сергеевна</t>
  </si>
  <si>
    <t>@ann0707ip</t>
  </si>
  <si>
    <t>Илюшенко Анна Алексеевна</t>
  </si>
  <si>
    <t>HTTPS://T.ME/MWIZ87</t>
  </si>
  <si>
    <t>Булычева Екатерина Сергеевна</t>
  </si>
  <si>
    <t>@Katrinbul</t>
  </si>
  <si>
    <t>Тольятти</t>
  </si>
  <si>
    <t>Каштанова Елена Викторовна</t>
  </si>
  <si>
    <t>Денисова Наталья Сергеевна</t>
  </si>
  <si>
    <t>@natalek_den</t>
  </si>
  <si>
    <t>Тульская область</t>
  </si>
  <si>
    <t>Тула</t>
  </si>
  <si>
    <t>Шведов Дмитрий Владимирович</t>
  </si>
  <si>
    <t>https://t.me/Shvedov_D</t>
  </si>
  <si>
    <t>Республика Карелия</t>
  </si>
  <si>
    <t>Петрозаводск</t>
  </si>
  <si>
    <t>Толоконцев Василий Валерьевич</t>
  </si>
  <si>
    <t>@TolokontsevVasilii</t>
  </si>
  <si>
    <t>Череповец</t>
  </si>
  <si>
    <t>Копицин Игорь Николаевич</t>
  </si>
  <si>
    <t xml:space="preserve">@ovisch </t>
  </si>
  <si>
    <t xml:space="preserve">Астраханская обл. </t>
  </si>
  <si>
    <t>Романов Михаил Валерьевич</t>
  </si>
  <si>
    <t>@MIKA_1332206</t>
  </si>
  <si>
    <t>Омская область</t>
  </si>
  <si>
    <t>Тимофеева Евгения Сергеевна</t>
  </si>
  <si>
    <t>@Evgenya_Timofeeva</t>
  </si>
  <si>
    <t>Тютина Александра Андреевна</t>
  </si>
  <si>
    <t>@aleksandra_qa</t>
  </si>
  <si>
    <t>Белуничева Эльвира Андреевна</t>
  </si>
  <si>
    <t>https://t.me/belunicheva</t>
  </si>
  <si>
    <t>Лобня</t>
  </si>
  <si>
    <t>Гончаренко Олеся Сергеевна</t>
  </si>
  <si>
    <t>@Lyasya1703</t>
  </si>
  <si>
    <t>НСО</t>
  </si>
  <si>
    <t>Опрокиднева Ирина Сергеевна</t>
  </si>
  <si>
    <t>@IrinaB56</t>
  </si>
  <si>
    <t xml:space="preserve">Оренбург </t>
  </si>
  <si>
    <t>Цыбина Наталья Валерьевна</t>
  </si>
  <si>
    <t>@NataliaTsybina</t>
  </si>
  <si>
    <t>Краснотурьинск</t>
  </si>
  <si>
    <t>Музалева Алла Александровна</t>
  </si>
  <si>
    <t xml:space="preserve">@museinlove </t>
  </si>
  <si>
    <t>Фонарев Юрий Андреевич</t>
  </si>
  <si>
    <t>https://t.me/OldSchoolla</t>
  </si>
  <si>
    <t>Корепанова Алсу Фанилевна</t>
  </si>
  <si>
    <t>@alsukorepanova</t>
  </si>
  <si>
    <t>Шавейко Екатерина Геннадьевна</t>
  </si>
  <si>
    <t>@K4372769</t>
  </si>
  <si>
    <t>Хисматулина Анастасия Владимировна</t>
  </si>
  <si>
    <t>@nastyatat18</t>
  </si>
  <si>
    <t>Кемеровская область</t>
  </si>
  <si>
    <t>Анжеро-Судженск</t>
  </si>
  <si>
    <t>Чепелева Мария Антоновна</t>
  </si>
  <si>
    <t>@mrukly</t>
  </si>
  <si>
    <t>Кретов Тимофей Николаевич</t>
  </si>
  <si>
    <t>@tkretov</t>
  </si>
  <si>
    <t>Крамаренко Анна Ивановна</t>
  </si>
  <si>
    <t>@miasamr</t>
  </si>
  <si>
    <t>Ростовская об</t>
  </si>
  <si>
    <t>Ростов-на-Дону</t>
  </si>
  <si>
    <t>Макарычева Светлана Геннадьевна</t>
  </si>
  <si>
    <t>@SvetlaniaM</t>
  </si>
  <si>
    <t>Пошина Мария Викторовна</t>
  </si>
  <si>
    <t>@Ruandil</t>
  </si>
  <si>
    <t xml:space="preserve">Хабаровский край </t>
  </si>
  <si>
    <t xml:space="preserve">Хабаровск </t>
  </si>
  <si>
    <t>Смирнова Оксана Юрьевна</t>
  </si>
  <si>
    <t>@Oxikona13</t>
  </si>
  <si>
    <t>Сатретдинова Ольга Александровна</t>
  </si>
  <si>
    <t>@B_olga73</t>
  </si>
  <si>
    <t>Гусев Евгений Леонидович</t>
  </si>
  <si>
    <t>@TryToCatch</t>
  </si>
  <si>
    <t>Добролежа Юлия Владимировна</t>
  </si>
  <si>
    <t>t.me/YULIYADOBRO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</si>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</sst>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5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8E7CC3"/>
        <bgColor rgb="FF8E7CC3"/>
      </patternFill>
    </fill>
    <fill>
      <patternFill patternType="solid">
        <fgColor rgb="FFF4CCCC"/>
        <bgColor rgb="FFF4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horizontal="right" readingOrder="0" vertical="bottom"/>
    </xf>
    <xf borderId="0" fillId="12" fontId="4" numFmtId="0" xfId="0" applyAlignment="1" applyFill="1" applyFont="1">
      <alignment vertical="bottom"/>
    </xf>
    <xf borderId="0" fillId="13" fontId="4" numFmtId="0" xfId="0" applyAlignment="1" applyFill="1" applyFont="1">
      <alignment vertical="bottom"/>
    </xf>
    <xf borderId="0" fillId="14" fontId="4" numFmtId="0" xfId="0" applyAlignment="1" applyFill="1" applyFont="1">
      <alignment horizontal="right" vertical="bottom"/>
    </xf>
    <xf borderId="0" fillId="14" fontId="4" numFmtId="0" xfId="0" applyAlignment="1" applyFont="1">
      <alignment horizontal="right" readingOrder="0"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42" Type="http://schemas.openxmlformats.org/officeDocument/2006/relationships/hyperlink" Target="https://t.me/@Obuhova_N" TargetMode="External"/><Relationship Id="rId41" Type="http://schemas.openxmlformats.org/officeDocument/2006/relationships/hyperlink" Target="https://t.me/MelTaniaNikova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107" Type="http://schemas.openxmlformats.org/officeDocument/2006/relationships/hyperlink" Target="about:blank" TargetMode="External"/><Relationship Id="rId106" Type="http://schemas.openxmlformats.org/officeDocument/2006/relationships/hyperlink" Target="https://t.me/ElenaDatsenko" TargetMode="External"/><Relationship Id="rId105" Type="http://schemas.openxmlformats.org/officeDocument/2006/relationships/hyperlink" Target="https://t.me/SonyaGS" TargetMode="External"/><Relationship Id="rId104" Type="http://schemas.openxmlformats.org/officeDocument/2006/relationships/hyperlink" Target="https://t.me/martymcflysdog" TargetMode="External"/><Relationship Id="rId109" Type="http://schemas.openxmlformats.org/officeDocument/2006/relationships/hyperlink" Target="https://t.me/belunicheva" TargetMode="External"/><Relationship Id="rId108" Type="http://schemas.openxmlformats.org/officeDocument/2006/relationships/hyperlink" Target="https://t.me/Shvedov_D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103" Type="http://schemas.openxmlformats.org/officeDocument/2006/relationships/hyperlink" Target="http://t.me/Anna_Sinic" TargetMode="External"/><Relationship Id="rId102" Type="http://schemas.openxmlformats.org/officeDocument/2006/relationships/hyperlink" Target="https://t.me/Moonflower5791" TargetMode="External"/><Relationship Id="rId101" Type="http://schemas.openxmlformats.org/officeDocument/2006/relationships/hyperlink" Target="https://t.me/Sweet_Dream2188" TargetMode="External"/><Relationship Id="rId100" Type="http://schemas.openxmlformats.org/officeDocument/2006/relationships/hyperlink" Target="https://t.me/DariaViktorova" TargetMode="External"/><Relationship Id="rId31" Type="http://schemas.openxmlformats.org/officeDocument/2006/relationships/hyperlink" Target="https://t.me/bagira_marks" TargetMode="External"/><Relationship Id="rId30" Type="http://schemas.openxmlformats.org/officeDocument/2006/relationships/hyperlink" Target="https://t.me/ElenKruglova" TargetMode="External"/><Relationship Id="rId33" Type="http://schemas.openxmlformats.org/officeDocument/2006/relationships/hyperlink" Target="https://t.me/OLga17o" TargetMode="External"/><Relationship Id="rId32" Type="http://schemas.openxmlformats.org/officeDocument/2006/relationships/hyperlink" Target="https://t.me/Antonio" TargetMode="External"/><Relationship Id="rId35" Type="http://schemas.openxmlformats.org/officeDocument/2006/relationships/hyperlink" Target="https://t.me/LexLvov" TargetMode="External"/><Relationship Id="rId34" Type="http://schemas.openxmlformats.org/officeDocument/2006/relationships/hyperlink" Target="https://t.me/Kseniaa555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20" Type="http://schemas.openxmlformats.org/officeDocument/2006/relationships/hyperlink" Target="http://t.me/Aigul_Dustanova" TargetMode="External"/><Relationship Id="rId22" Type="http://schemas.openxmlformats.org/officeDocument/2006/relationships/hyperlink" Target="https://t.me/valentine253" TargetMode="External"/><Relationship Id="rId21" Type="http://schemas.openxmlformats.org/officeDocument/2006/relationships/hyperlink" Target="https://t.me/irlikeve" TargetMode="External"/><Relationship Id="rId24" Type="http://schemas.openxmlformats.org/officeDocument/2006/relationships/hyperlink" Target="https://t.me/LyubaZhol" TargetMode="External"/><Relationship Id="rId23" Type="http://schemas.openxmlformats.org/officeDocument/2006/relationships/hyperlink" Target="https://t.me/uuuuttaa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95" Type="http://schemas.openxmlformats.org/officeDocument/2006/relationships/hyperlink" Target="https://t.me/Ildar_kamaletdinow" TargetMode="External"/><Relationship Id="rId94" Type="http://schemas.openxmlformats.org/officeDocument/2006/relationships/hyperlink" Target="https://t.me/Anestych" TargetMode="External"/><Relationship Id="rId97" Type="http://schemas.openxmlformats.org/officeDocument/2006/relationships/hyperlink" Target="https://t.me/Kristina_971" TargetMode="External"/><Relationship Id="rId96" Type="http://schemas.openxmlformats.org/officeDocument/2006/relationships/hyperlink" Target="http://t.me/oshmarinasvetlana" TargetMode="External"/><Relationship Id="rId11" Type="http://schemas.openxmlformats.org/officeDocument/2006/relationships/hyperlink" Target="https://t.me/demet_rus" TargetMode="External"/><Relationship Id="rId99" Type="http://schemas.openxmlformats.org/officeDocument/2006/relationships/hyperlink" Target="https://t.me/TianaSmit85" TargetMode="External"/><Relationship Id="rId10" Type="http://schemas.openxmlformats.org/officeDocument/2006/relationships/hyperlink" Target="http://t.me/anastas31415692" TargetMode="External"/><Relationship Id="rId98" Type="http://schemas.openxmlformats.org/officeDocument/2006/relationships/hyperlink" Target="https://t.me/ella15012" TargetMode="External"/><Relationship Id="rId13" Type="http://schemas.openxmlformats.org/officeDocument/2006/relationships/hyperlink" Target="https://t.me/nessy1998" TargetMode="External"/><Relationship Id="rId12" Type="http://schemas.openxmlformats.org/officeDocument/2006/relationships/hyperlink" Target="https://t.me/ernikoy" TargetMode="External"/><Relationship Id="rId91" Type="http://schemas.openxmlformats.org/officeDocument/2006/relationships/hyperlink" Target="https://t.me/mariov" TargetMode="External"/><Relationship Id="rId90" Type="http://schemas.openxmlformats.org/officeDocument/2006/relationships/hyperlink" Target="http://t.me/uriyter" TargetMode="External"/><Relationship Id="rId93" Type="http://schemas.openxmlformats.org/officeDocument/2006/relationships/hyperlink" Target="https://t.me/TSela_V" TargetMode="External"/><Relationship Id="rId92" Type="http://schemas.openxmlformats.org/officeDocument/2006/relationships/hyperlink" Target="https://t.me/filatovanastasia" TargetMode="External"/><Relationship Id="rId15" Type="http://schemas.openxmlformats.org/officeDocument/2006/relationships/hyperlink" Target="https://t.me/AlekseyDG" TargetMode="External"/><Relationship Id="rId110" Type="http://schemas.openxmlformats.org/officeDocument/2006/relationships/hyperlink" Target="https://t.me/OldSchoolla" TargetMode="External"/><Relationship Id="rId14" Type="http://schemas.openxmlformats.org/officeDocument/2006/relationships/hyperlink" Target="https://t.me/svetagrinn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Relationship Id="rId112" Type="http://schemas.openxmlformats.org/officeDocument/2006/relationships/drawing" Target="../drawings/drawing1.xml"/><Relationship Id="rId111" Type="http://schemas.openxmlformats.org/officeDocument/2006/relationships/hyperlink" Target="http://t.me/YULIYADOBRO" TargetMode="External"/><Relationship Id="rId84" Type="http://schemas.openxmlformats.org/officeDocument/2006/relationships/hyperlink" Target="https://t.me/Katrin_rzn" TargetMode="External"/><Relationship Id="rId83" Type="http://schemas.openxmlformats.org/officeDocument/2006/relationships/hyperlink" Target="https://t.me/nick.demy" TargetMode="External"/><Relationship Id="rId86" Type="http://schemas.openxmlformats.org/officeDocument/2006/relationships/hyperlink" Target="https://t.me/Pominov29" TargetMode="External"/><Relationship Id="rId85" Type="http://schemas.openxmlformats.org/officeDocument/2006/relationships/hyperlink" Target="https://t.me/etelindaaa" TargetMode="External"/><Relationship Id="rId88" Type="http://schemas.openxmlformats.org/officeDocument/2006/relationships/hyperlink" Target="https://t.me/NecrisPhayder" TargetMode="External"/><Relationship Id="rId87" Type="http://schemas.openxmlformats.org/officeDocument/2006/relationships/hyperlink" Target="https://t.me/letun15" TargetMode="External"/><Relationship Id="rId89" Type="http://schemas.openxmlformats.org/officeDocument/2006/relationships/hyperlink" Target="https://t.me/YaMusenka" TargetMode="External"/><Relationship Id="rId80" Type="http://schemas.openxmlformats.org/officeDocument/2006/relationships/hyperlink" Target="https://t.me/dainerissss" TargetMode="External"/><Relationship Id="rId82" Type="http://schemas.openxmlformats.org/officeDocument/2006/relationships/hyperlink" Target="https://t.me/zzomer" TargetMode="External"/><Relationship Id="rId81" Type="http://schemas.openxmlformats.org/officeDocument/2006/relationships/hyperlink" Target="https://t.me/D1men1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75" Type="http://schemas.openxmlformats.org/officeDocument/2006/relationships/hyperlink" Target="http://t.me/IgorFilippov_02" TargetMode="External"/><Relationship Id="rId74" Type="http://schemas.openxmlformats.org/officeDocument/2006/relationships/hyperlink" Target="http://t.me/hicka2G" TargetMode="External"/><Relationship Id="rId77" Type="http://schemas.openxmlformats.org/officeDocument/2006/relationships/hyperlink" Target="https://t.me/soulfinfer" TargetMode="External"/><Relationship Id="rId76" Type="http://schemas.openxmlformats.org/officeDocument/2006/relationships/hyperlink" Target="https://t.me/@YurVol71" TargetMode="External"/><Relationship Id="rId79" Type="http://schemas.openxmlformats.org/officeDocument/2006/relationships/hyperlink" Target="https://t.me/zanozkin" TargetMode="External"/><Relationship Id="rId78" Type="http://schemas.openxmlformats.org/officeDocument/2006/relationships/hyperlink" Target="https://t.me/Nastysha_020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66" Type="http://schemas.openxmlformats.org/officeDocument/2006/relationships/hyperlink" Target="https://t.me/Holmovs" TargetMode="External"/><Relationship Id="rId65" Type="http://schemas.openxmlformats.org/officeDocument/2006/relationships/hyperlink" Target="https://t.me/mr_kko" TargetMode="External"/><Relationship Id="rId68" Type="http://schemas.openxmlformats.org/officeDocument/2006/relationships/hyperlink" Target="https://t.me/dima777939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69" Type="http://schemas.openxmlformats.org/officeDocument/2006/relationships/hyperlink" Target="https://t.me/AnnaShhhmelev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55" Type="http://schemas.openxmlformats.org/officeDocument/2006/relationships/hyperlink" Target="https://t.me/Dobrolet4" TargetMode="External"/><Relationship Id="rId54" Type="http://schemas.openxmlformats.org/officeDocument/2006/relationships/hyperlink" Target="https://t.me/rickdanil" TargetMode="External"/><Relationship Id="rId57" Type="http://schemas.openxmlformats.org/officeDocument/2006/relationships/hyperlink" Target="https://t.me/maxrazrabotUnity1994" TargetMode="External"/><Relationship Id="rId56" Type="http://schemas.openxmlformats.org/officeDocument/2006/relationships/hyperlink" Target="https://t.me/sizmakhom" TargetMode="External"/><Relationship Id="rId59" Type="http://schemas.openxmlformats.org/officeDocument/2006/relationships/hyperlink" Target="https://t.me/tlguid" TargetMode="External"/><Relationship Id="rId58" Type="http://schemas.openxmlformats.org/officeDocument/2006/relationships/hyperlink" Target="https://t.me/vokrats" TargetMode="Externa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180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172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147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175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40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1</v>
      </c>
      <c r="J12" s="13" t="s">
        <v>39</v>
      </c>
      <c r="K12" s="13" t="s">
        <v>48</v>
      </c>
      <c r="L12" s="26" t="s">
        <v>86</v>
      </c>
      <c r="M12" s="13" t="s">
        <v>48</v>
      </c>
      <c r="N12" s="13"/>
      <c r="O12" s="13"/>
      <c r="P12" s="25" t="s">
        <v>33</v>
      </c>
      <c r="Q12" s="25" t="s">
        <v>33</v>
      </c>
      <c r="R12" s="25" t="s">
        <v>33</v>
      </c>
      <c r="S12" s="25" t="s">
        <v>33</v>
      </c>
      <c r="T12" s="25" t="s">
        <v>33</v>
      </c>
      <c r="U12" s="25" t="s">
        <v>33</v>
      </c>
    </row>
    <row r="13">
      <c r="A13" s="13" t="s">
        <v>87</v>
      </c>
      <c r="B13" s="13" t="s">
        <v>88</v>
      </c>
      <c r="C13" s="14">
        <v>8.9088969532E10</v>
      </c>
      <c r="D13" s="13" t="s">
        <v>52</v>
      </c>
      <c r="E13" s="13" t="s">
        <v>89</v>
      </c>
      <c r="F13" s="13" t="s">
        <v>90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91</v>
      </c>
      <c r="B14" s="20" t="s">
        <v>92</v>
      </c>
      <c r="C14" s="14">
        <v>8.915792384E10</v>
      </c>
      <c r="D14" s="13" t="s">
        <v>23</v>
      </c>
      <c r="E14" s="13" t="s">
        <v>93</v>
      </c>
      <c r="F14" s="13" t="s">
        <v>94</v>
      </c>
      <c r="G14" s="13" t="s">
        <v>38</v>
      </c>
      <c r="H14" s="14">
        <v>33.0</v>
      </c>
      <c r="I14" s="14">
        <f t="shared" si="1"/>
        <v>4</v>
      </c>
      <c r="J14" s="13" t="s">
        <v>27</v>
      </c>
      <c r="K14" s="13" t="s">
        <v>27</v>
      </c>
      <c r="L14" s="13" t="s">
        <v>27</v>
      </c>
      <c r="M14" s="13" t="s">
        <v>27</v>
      </c>
      <c r="N14" s="13" t="s">
        <v>29</v>
      </c>
      <c r="O14" s="13" t="s">
        <v>31</v>
      </c>
      <c r="P14" s="13" t="s">
        <v>29</v>
      </c>
      <c r="Q14" s="13" t="s">
        <v>30</v>
      </c>
      <c r="R14" s="13" t="s">
        <v>29</v>
      </c>
      <c r="S14" s="13" t="s">
        <v>31</v>
      </c>
      <c r="T14" s="13" t="s">
        <v>31</v>
      </c>
      <c r="U14" s="13" t="s">
        <v>32</v>
      </c>
      <c r="V14" s="27"/>
      <c r="W14" s="27"/>
      <c r="Y14" s="27"/>
    </row>
    <row r="15">
      <c r="A15" s="13" t="s">
        <v>95</v>
      </c>
      <c r="B15" s="13" t="s">
        <v>96</v>
      </c>
      <c r="C15" s="14">
        <v>8.9178876516E10</v>
      </c>
      <c r="D15" s="13" t="s">
        <v>52</v>
      </c>
      <c r="E15" s="13" t="s">
        <v>97</v>
      </c>
      <c r="F15" s="13" t="s">
        <v>98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7"/>
      <c r="W15" s="27"/>
      <c r="Y15" s="27"/>
    </row>
    <row r="16">
      <c r="A16" s="28" t="s">
        <v>99</v>
      </c>
      <c r="B16" s="13" t="s">
        <v>100</v>
      </c>
      <c r="C16" s="14">
        <v>8.9087273237E10</v>
      </c>
      <c r="D16" s="13" t="s">
        <v>23</v>
      </c>
      <c r="E16" s="13" t="s">
        <v>101</v>
      </c>
      <c r="F16" s="13" t="s">
        <v>101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7"/>
      <c r="W16" s="27"/>
      <c r="Y16" s="27"/>
    </row>
    <row r="17">
      <c r="A17" s="13" t="s">
        <v>102</v>
      </c>
      <c r="B17" s="13" t="s">
        <v>103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7"/>
      <c r="W17" s="27"/>
      <c r="Y17" s="27"/>
    </row>
    <row r="18">
      <c r="A18" s="13" t="s">
        <v>104</v>
      </c>
      <c r="B18" s="20" t="s">
        <v>105</v>
      </c>
      <c r="C18" s="14">
        <v>8.9045575058E10</v>
      </c>
      <c r="D18" s="13" t="s">
        <v>23</v>
      </c>
      <c r="E18" s="13" t="s">
        <v>106</v>
      </c>
      <c r="F18" s="13" t="s">
        <v>107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7"/>
      <c r="W18" s="27"/>
      <c r="Y18" s="27"/>
    </row>
    <row r="19">
      <c r="A19" s="13" t="s">
        <v>108</v>
      </c>
      <c r="B19" s="13" t="s">
        <v>109</v>
      </c>
      <c r="C19" s="14">
        <v>8.9279224382E10</v>
      </c>
      <c r="D19" s="13" t="s">
        <v>23</v>
      </c>
      <c r="E19" s="13" t="s">
        <v>110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111</v>
      </c>
      <c r="B20" s="13" t="s">
        <v>112</v>
      </c>
      <c r="C20" s="14">
        <v>8.9027838373E10</v>
      </c>
      <c r="D20" s="13" t="s">
        <v>23</v>
      </c>
      <c r="E20" s="13" t="s">
        <v>113</v>
      </c>
      <c r="F20" s="13" t="s">
        <v>114</v>
      </c>
      <c r="G20" s="13" t="s">
        <v>26</v>
      </c>
      <c r="H20" s="14">
        <v>37.0</v>
      </c>
      <c r="I20" s="14">
        <f t="shared" si="1"/>
        <v>4</v>
      </c>
      <c r="J20" s="13" t="s">
        <v>27</v>
      </c>
      <c r="K20" s="13" t="s">
        <v>27</v>
      </c>
      <c r="L20" s="13" t="s">
        <v>27</v>
      </c>
      <c r="M20" s="13" t="s">
        <v>27</v>
      </c>
      <c r="N20" s="13" t="s">
        <v>40</v>
      </c>
      <c r="O20" s="13" t="s">
        <v>32</v>
      </c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115</v>
      </c>
      <c r="B21" s="20" t="s">
        <v>116</v>
      </c>
      <c r="C21" s="14">
        <v>8.9155423781E10</v>
      </c>
      <c r="D21" s="13" t="s">
        <v>23</v>
      </c>
      <c r="E21" s="13" t="s">
        <v>117</v>
      </c>
      <c r="F21" s="13" t="s">
        <v>118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119</v>
      </c>
      <c r="B22" s="13" t="s">
        <v>120</v>
      </c>
      <c r="C22" s="14">
        <v>8.9050507937E10</v>
      </c>
      <c r="D22" s="13" t="s">
        <v>52</v>
      </c>
      <c r="E22" s="13" t="s">
        <v>121</v>
      </c>
      <c r="F22" s="13" t="s">
        <v>122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123</v>
      </c>
      <c r="B23" s="13" t="s">
        <v>124</v>
      </c>
      <c r="C23" s="14">
        <v>8.9087443413E10</v>
      </c>
      <c r="D23" s="13" t="s">
        <v>23</v>
      </c>
      <c r="E23" s="13" t="s">
        <v>113</v>
      </c>
      <c r="F23" s="13" t="s">
        <v>125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126</v>
      </c>
      <c r="B24" s="13" t="s">
        <v>127</v>
      </c>
      <c r="C24" s="14">
        <v>8.912600083E10</v>
      </c>
      <c r="D24" s="13" t="s">
        <v>52</v>
      </c>
      <c r="E24" s="13" t="s">
        <v>128</v>
      </c>
      <c r="F24" s="13" t="s">
        <v>129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130</v>
      </c>
      <c r="B25" s="13" t="s">
        <v>131</v>
      </c>
      <c r="C25" s="14">
        <v>8.9270807999E10</v>
      </c>
      <c r="D25" s="13" t="s">
        <v>52</v>
      </c>
      <c r="E25" s="13" t="s">
        <v>132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133</v>
      </c>
      <c r="B26" s="13" t="s">
        <v>134</v>
      </c>
      <c r="C26" s="14">
        <v>8.926561274E10</v>
      </c>
      <c r="D26" s="13" t="s">
        <v>23</v>
      </c>
      <c r="E26" s="13" t="s">
        <v>135</v>
      </c>
      <c r="F26" s="13" t="s">
        <v>136</v>
      </c>
      <c r="G26" s="13" t="s">
        <v>38</v>
      </c>
      <c r="H26" s="14">
        <v>42.0</v>
      </c>
      <c r="I26" s="14">
        <f t="shared" si="1"/>
        <v>4</v>
      </c>
      <c r="J26" s="13" t="s">
        <v>27</v>
      </c>
      <c r="K26" s="13" t="s">
        <v>27</v>
      </c>
      <c r="L26" s="13" t="s">
        <v>27</v>
      </c>
      <c r="M26" s="13" t="s">
        <v>27</v>
      </c>
      <c r="N26" s="13" t="s">
        <v>29</v>
      </c>
      <c r="O26" s="13" t="s">
        <v>31</v>
      </c>
      <c r="P26" s="13" t="s">
        <v>40</v>
      </c>
      <c r="Q26" s="13" t="s">
        <v>32</v>
      </c>
      <c r="R26" s="13" t="s">
        <v>40</v>
      </c>
      <c r="S26" s="13" t="s">
        <v>31</v>
      </c>
      <c r="T26" s="13" t="s">
        <v>40</v>
      </c>
      <c r="U26" s="13" t="s">
        <v>32</v>
      </c>
    </row>
    <row r="27">
      <c r="A27" s="13" t="s">
        <v>137</v>
      </c>
      <c r="B27" s="20" t="s">
        <v>138</v>
      </c>
      <c r="C27" s="14">
        <v>8.9135864648E10</v>
      </c>
      <c r="D27" s="13" t="s">
        <v>23</v>
      </c>
      <c r="E27" s="13" t="s">
        <v>139</v>
      </c>
      <c r="F27" s="13" t="s">
        <v>140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141</v>
      </c>
      <c r="B28" s="13" t="s">
        <v>142</v>
      </c>
      <c r="C28" s="14">
        <v>8.9522703999E10</v>
      </c>
      <c r="D28" s="13" t="s">
        <v>23</v>
      </c>
      <c r="E28" s="13" t="s">
        <v>143</v>
      </c>
      <c r="F28" s="13" t="s">
        <v>144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21" t="s">
        <v>40</v>
      </c>
      <c r="U28" s="13" t="s">
        <v>31</v>
      </c>
    </row>
    <row r="29">
      <c r="A29" s="13" t="s">
        <v>145</v>
      </c>
      <c r="B29" s="13" t="s">
        <v>146</v>
      </c>
      <c r="C29" s="14">
        <v>8.9053939977E10</v>
      </c>
      <c r="D29" s="13" t="s">
        <v>23</v>
      </c>
      <c r="E29" s="13" t="s">
        <v>147</v>
      </c>
      <c r="F29" s="13" t="s">
        <v>148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149</v>
      </c>
      <c r="B30" s="20" t="s">
        <v>150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151</v>
      </c>
      <c r="B31" s="13" t="s">
        <v>152</v>
      </c>
      <c r="C31" s="14">
        <v>8.9012849535E10</v>
      </c>
      <c r="D31" s="13" t="s">
        <v>52</v>
      </c>
      <c r="E31" s="13" t="s">
        <v>153</v>
      </c>
      <c r="F31" s="13" t="s">
        <v>154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155</v>
      </c>
      <c r="B32" s="13" t="s">
        <v>156</v>
      </c>
      <c r="C32" s="14">
        <v>8.9649669677E10</v>
      </c>
      <c r="D32" s="13" t="s">
        <v>23</v>
      </c>
      <c r="E32" s="13" t="s">
        <v>157</v>
      </c>
      <c r="F32" s="13" t="s">
        <v>158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159</v>
      </c>
      <c r="B33" s="20" t="s">
        <v>160</v>
      </c>
      <c r="C33" s="14">
        <v>8.9523546538E10</v>
      </c>
      <c r="D33" s="13" t="s">
        <v>52</v>
      </c>
      <c r="E33" s="13" t="s">
        <v>161</v>
      </c>
      <c r="F33" s="13" t="s">
        <v>161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 t="s">
        <v>31</v>
      </c>
      <c r="Q33" s="13" t="s">
        <v>32</v>
      </c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162</v>
      </c>
      <c r="B34" s="13" t="s">
        <v>163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27</v>
      </c>
      <c r="L34" s="13" t="s">
        <v>27</v>
      </c>
      <c r="M34" s="13" t="s">
        <v>48</v>
      </c>
      <c r="N34" s="13" t="s">
        <v>29</v>
      </c>
      <c r="O34" s="13" t="s">
        <v>31</v>
      </c>
      <c r="P34" s="13" t="s">
        <v>40</v>
      </c>
      <c r="Q34" s="13" t="s">
        <v>30</v>
      </c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164</v>
      </c>
      <c r="B35" s="13" t="s">
        <v>165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166</v>
      </c>
      <c r="B36" s="20" t="s">
        <v>167</v>
      </c>
      <c r="C36" s="14">
        <v>8.9290220229E10</v>
      </c>
      <c r="D36" s="13" t="s">
        <v>23</v>
      </c>
      <c r="E36" s="14">
        <v>32.0</v>
      </c>
      <c r="F36" s="13" t="s">
        <v>168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169</v>
      </c>
      <c r="B37" s="20" t="s">
        <v>170</v>
      </c>
      <c r="C37" s="14">
        <v>8.9520522216E10</v>
      </c>
      <c r="D37" s="13" t="s">
        <v>23</v>
      </c>
      <c r="E37" s="13" t="s">
        <v>171</v>
      </c>
      <c r="F37" s="13" t="s">
        <v>172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173</v>
      </c>
      <c r="B38" s="20" t="s">
        <v>174</v>
      </c>
      <c r="C38" s="14">
        <v>8.9601483424E10</v>
      </c>
      <c r="D38" s="13" t="s">
        <v>23</v>
      </c>
      <c r="E38" s="13" t="s">
        <v>161</v>
      </c>
      <c r="F38" s="13" t="s">
        <v>161</v>
      </c>
      <c r="G38" s="13" t="s">
        <v>26</v>
      </c>
      <c r="H38" s="14">
        <v>47.0</v>
      </c>
      <c r="I38" s="14">
        <f t="shared" si="1"/>
        <v>4</v>
      </c>
      <c r="J38" s="26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175</v>
      </c>
      <c r="B39" s="20" t="s">
        <v>176</v>
      </c>
      <c r="C39" s="14">
        <v>8.9656092161E10</v>
      </c>
      <c r="D39" s="13" t="s">
        <v>52</v>
      </c>
      <c r="E39" s="13" t="s">
        <v>97</v>
      </c>
      <c r="F39" s="13" t="s">
        <v>177</v>
      </c>
      <c r="G39" s="13" t="s">
        <v>26</v>
      </c>
      <c r="H39" s="14">
        <v>25.0</v>
      </c>
      <c r="I39" s="14">
        <f t="shared" si="1"/>
        <v>4</v>
      </c>
      <c r="J39" s="26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178</v>
      </c>
      <c r="B40" s="20" t="s">
        <v>179</v>
      </c>
      <c r="C40" s="14">
        <v>8.9127602734E10</v>
      </c>
      <c r="D40" s="13" t="s">
        <v>23</v>
      </c>
      <c r="E40" s="13" t="s">
        <v>180</v>
      </c>
      <c r="F40" s="13" t="s">
        <v>181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182</v>
      </c>
      <c r="B41" s="20" t="s">
        <v>183</v>
      </c>
      <c r="C41" s="14">
        <v>8.9627586248E10</v>
      </c>
      <c r="D41" s="13" t="s">
        <v>23</v>
      </c>
      <c r="E41" s="13" t="s">
        <v>184</v>
      </c>
      <c r="F41" s="13" t="s">
        <v>185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186</v>
      </c>
      <c r="B42" s="13" t="s">
        <v>187</v>
      </c>
      <c r="C42" s="14">
        <v>8.9997858443E10</v>
      </c>
      <c r="D42" s="13" t="s">
        <v>52</v>
      </c>
      <c r="E42" s="13" t="s">
        <v>188</v>
      </c>
      <c r="F42" s="13" t="s">
        <v>189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190</v>
      </c>
      <c r="B43" s="13" t="s">
        <v>191</v>
      </c>
      <c r="C43" s="14">
        <v>8.993562109E10</v>
      </c>
      <c r="D43" s="13" t="s">
        <v>23</v>
      </c>
      <c r="E43" s="13" t="s">
        <v>192</v>
      </c>
      <c r="F43" s="13" t="s">
        <v>193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194</v>
      </c>
      <c r="B44" s="20" t="s">
        <v>195</v>
      </c>
      <c r="C44" s="14">
        <v>8.9371400349E10</v>
      </c>
      <c r="D44" s="13" t="s">
        <v>23</v>
      </c>
      <c r="E44" s="13" t="s">
        <v>147</v>
      </c>
      <c r="F44" s="13" t="s">
        <v>196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197</v>
      </c>
      <c r="B45" s="13" t="s">
        <v>198</v>
      </c>
      <c r="C45" s="14">
        <v>8.9198366717E10</v>
      </c>
      <c r="D45" s="13" t="s">
        <v>23</v>
      </c>
      <c r="E45" s="13" t="s">
        <v>199</v>
      </c>
      <c r="F45" s="13" t="s">
        <v>148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200</v>
      </c>
      <c r="B46" s="13" t="s">
        <v>201</v>
      </c>
      <c r="C46" s="14">
        <v>8.9277422165E10</v>
      </c>
      <c r="D46" s="13" t="s">
        <v>23</v>
      </c>
      <c r="E46" s="13" t="s">
        <v>202</v>
      </c>
      <c r="F46" s="13" t="s">
        <v>202</v>
      </c>
      <c r="G46" s="13" t="s">
        <v>26</v>
      </c>
      <c r="H46" s="14">
        <v>37.0</v>
      </c>
      <c r="I46" s="14">
        <f t="shared" si="1"/>
        <v>3</v>
      </c>
      <c r="J46" s="26" t="s">
        <v>27</v>
      </c>
      <c r="K46" s="13" t="s">
        <v>39</v>
      </c>
      <c r="L46" s="13" t="s">
        <v>48</v>
      </c>
      <c r="M46" s="13" t="s">
        <v>27</v>
      </c>
      <c r="N46" s="13" t="s">
        <v>31</v>
      </c>
      <c r="O46" s="13" t="s">
        <v>32</v>
      </c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203</v>
      </c>
      <c r="B47" s="13" t="s">
        <v>204</v>
      </c>
      <c r="C47" s="14">
        <v>8.9930204203E10</v>
      </c>
      <c r="D47" s="13" t="s">
        <v>23</v>
      </c>
      <c r="E47" s="13" t="s">
        <v>205</v>
      </c>
      <c r="F47" s="13" t="s">
        <v>206</v>
      </c>
      <c r="G47" s="13" t="s">
        <v>26</v>
      </c>
      <c r="H47" s="14">
        <v>25.0</v>
      </c>
      <c r="I47" s="14">
        <f t="shared" si="1"/>
        <v>4</v>
      </c>
      <c r="J47" s="13" t="s">
        <v>27</v>
      </c>
      <c r="K47" s="13" t="s">
        <v>39</v>
      </c>
      <c r="L47" s="13" t="s">
        <v>39</v>
      </c>
      <c r="M47" s="13" t="s">
        <v>27</v>
      </c>
      <c r="N47" s="13" t="s">
        <v>40</v>
      </c>
      <c r="O47" s="13" t="s">
        <v>32</v>
      </c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207</v>
      </c>
      <c r="B48" s="18" t="s">
        <v>208</v>
      </c>
      <c r="C48" s="14">
        <v>8.9197329022E10</v>
      </c>
      <c r="D48" s="13" t="s">
        <v>23</v>
      </c>
      <c r="E48" s="13" t="s">
        <v>209</v>
      </c>
      <c r="F48" s="13" t="s">
        <v>210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40</v>
      </c>
      <c r="U48" s="13" t="s">
        <v>32</v>
      </c>
    </row>
    <row r="49">
      <c r="A49" s="13" t="s">
        <v>211</v>
      </c>
      <c r="B49" s="13" t="s">
        <v>212</v>
      </c>
      <c r="C49" s="14">
        <v>8.913010014E10</v>
      </c>
      <c r="D49" s="13" t="s">
        <v>23</v>
      </c>
      <c r="E49" s="13" t="s">
        <v>213</v>
      </c>
      <c r="F49" s="13" t="s">
        <v>213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214</v>
      </c>
      <c r="B50" s="13" t="s">
        <v>215</v>
      </c>
      <c r="C50" s="14">
        <v>8.903806837E10</v>
      </c>
      <c r="D50" s="13" t="s">
        <v>23</v>
      </c>
      <c r="E50" s="13" t="s">
        <v>216</v>
      </c>
      <c r="F50" s="13" t="s">
        <v>217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27</v>
      </c>
      <c r="L50" s="13" t="s">
        <v>27</v>
      </c>
      <c r="M50" s="13" t="s">
        <v>28</v>
      </c>
      <c r="N50" s="25" t="s">
        <v>33</v>
      </c>
      <c r="O50" s="25" t="s">
        <v>33</v>
      </c>
      <c r="P50" s="13" t="s">
        <v>31</v>
      </c>
      <c r="Q50" s="13" t="s">
        <v>32</v>
      </c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218</v>
      </c>
      <c r="B51" s="13" t="s">
        <v>219</v>
      </c>
      <c r="C51" s="14">
        <v>8.9052917856E10</v>
      </c>
      <c r="D51" s="13" t="s">
        <v>23</v>
      </c>
      <c r="E51" s="13" t="s">
        <v>220</v>
      </c>
      <c r="F51" s="13" t="s">
        <v>221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27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 t="s">
        <v>31</v>
      </c>
      <c r="U51" s="13" t="s">
        <v>32</v>
      </c>
    </row>
    <row r="52">
      <c r="A52" s="13" t="s">
        <v>222</v>
      </c>
      <c r="B52" s="13" t="s">
        <v>223</v>
      </c>
      <c r="C52" s="14">
        <v>8.9507304422E10</v>
      </c>
      <c r="D52" s="13" t="s">
        <v>52</v>
      </c>
      <c r="E52" s="13" t="s">
        <v>224</v>
      </c>
      <c r="F52" s="13" t="s">
        <v>225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26" t="s">
        <v>27</v>
      </c>
      <c r="N52" s="13"/>
      <c r="O52" s="13"/>
      <c r="P52" s="13" t="s">
        <v>29</v>
      </c>
      <c r="Q52" s="13" t="s">
        <v>31</v>
      </c>
      <c r="R52" s="13"/>
      <c r="S52" s="13"/>
      <c r="T52" s="13" t="s">
        <v>29</v>
      </c>
      <c r="U52" s="13" t="s">
        <v>31</v>
      </c>
    </row>
    <row r="53">
      <c r="A53" s="13" t="s">
        <v>226</v>
      </c>
      <c r="B53" s="13" t="s">
        <v>227</v>
      </c>
      <c r="C53" s="14">
        <v>8.9092265685E10</v>
      </c>
      <c r="D53" s="13" t="s">
        <v>52</v>
      </c>
      <c r="E53" s="13" t="s">
        <v>228</v>
      </c>
      <c r="F53" s="13" t="s">
        <v>229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230</v>
      </c>
      <c r="B54" s="20" t="s">
        <v>231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27</v>
      </c>
      <c r="K54" s="13" t="s">
        <v>48</v>
      </c>
      <c r="L54" s="13" t="s">
        <v>27</v>
      </c>
      <c r="M54" s="13" t="s">
        <v>27</v>
      </c>
      <c r="N54" s="13" t="s">
        <v>40</v>
      </c>
      <c r="O54" s="13" t="s">
        <v>30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232</v>
      </c>
      <c r="B55" s="13" t="s">
        <v>233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6" t="s">
        <v>27</v>
      </c>
      <c r="K55" s="13" t="s">
        <v>27</v>
      </c>
      <c r="L55" s="13" t="s">
        <v>39</v>
      </c>
      <c r="M55" s="26" t="s">
        <v>27</v>
      </c>
      <c r="N55" s="21" t="s">
        <v>31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234</v>
      </c>
      <c r="B56" s="13" t="s">
        <v>235</v>
      </c>
      <c r="C56" s="14">
        <v>8.9266007193E10</v>
      </c>
      <c r="D56" s="13" t="s">
        <v>23</v>
      </c>
      <c r="E56" s="13" t="s">
        <v>77</v>
      </c>
      <c r="F56" s="13" t="s">
        <v>236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237</v>
      </c>
      <c r="B57" s="20" t="s">
        <v>238</v>
      </c>
      <c r="C57" s="14">
        <v>8.9205844695E10</v>
      </c>
      <c r="D57" s="13" t="s">
        <v>23</v>
      </c>
      <c r="E57" s="13" t="s">
        <v>239</v>
      </c>
      <c r="F57" s="13" t="s">
        <v>240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241</v>
      </c>
      <c r="B58" s="20" t="s">
        <v>242</v>
      </c>
      <c r="C58" s="14">
        <v>8.9616748559E10</v>
      </c>
      <c r="D58" s="13" t="s">
        <v>52</v>
      </c>
      <c r="E58" s="13" t="s">
        <v>184</v>
      </c>
      <c r="F58" s="13" t="s">
        <v>243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244</v>
      </c>
      <c r="B59" s="13" t="s">
        <v>245</v>
      </c>
      <c r="C59" s="14">
        <v>8.9279007996E10</v>
      </c>
      <c r="D59" s="13" t="s">
        <v>23</v>
      </c>
      <c r="E59" s="13" t="s">
        <v>246</v>
      </c>
      <c r="F59" s="13" t="s">
        <v>247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21" t="s">
        <v>27</v>
      </c>
      <c r="M59" s="13" t="s">
        <v>27</v>
      </c>
      <c r="N59" s="13"/>
      <c r="O59" s="13"/>
      <c r="P59" s="13"/>
      <c r="Q59" s="13"/>
      <c r="R59" s="13" t="s">
        <v>31</v>
      </c>
      <c r="S59" s="13" t="s">
        <v>32</v>
      </c>
      <c r="T59" s="13" t="s">
        <v>31</v>
      </c>
      <c r="U59" s="13" t="s">
        <v>32</v>
      </c>
    </row>
    <row r="60">
      <c r="A60" s="13" t="s">
        <v>248</v>
      </c>
      <c r="B60" s="13" t="s">
        <v>249</v>
      </c>
      <c r="C60" s="14">
        <v>8.9202209701E10</v>
      </c>
      <c r="D60" s="13" t="s">
        <v>52</v>
      </c>
      <c r="E60" s="13" t="s">
        <v>121</v>
      </c>
      <c r="F60" s="13" t="s">
        <v>118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40</v>
      </c>
      <c r="S60" s="13" t="s">
        <v>32</v>
      </c>
      <c r="T60" s="13" t="s">
        <v>29</v>
      </c>
      <c r="U60" s="13" t="s">
        <v>31</v>
      </c>
    </row>
    <row r="61">
      <c r="A61" s="13" t="s">
        <v>250</v>
      </c>
      <c r="B61" s="13" t="s">
        <v>251</v>
      </c>
      <c r="C61" s="14">
        <v>8.9538619255E10</v>
      </c>
      <c r="D61" s="13" t="s">
        <v>23</v>
      </c>
      <c r="E61" s="13" t="s">
        <v>252</v>
      </c>
      <c r="F61" s="13" t="s">
        <v>206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253</v>
      </c>
      <c r="B62" s="13" t="s">
        <v>254</v>
      </c>
      <c r="C62" s="14">
        <v>8.9819760959E10</v>
      </c>
      <c r="D62" s="13" t="s">
        <v>23</v>
      </c>
      <c r="E62" s="13" t="s">
        <v>144</v>
      </c>
      <c r="F62" s="13" t="s">
        <v>144</v>
      </c>
      <c r="G62" s="13" t="s">
        <v>26</v>
      </c>
      <c r="H62" s="14">
        <v>51.0</v>
      </c>
      <c r="I62" s="26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255</v>
      </c>
      <c r="B63" s="20" t="s">
        <v>256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27</v>
      </c>
      <c r="K63" s="13" t="s">
        <v>27</v>
      </c>
      <c r="L63" s="13" t="s">
        <v>27</v>
      </c>
      <c r="M63" s="13" t="s">
        <v>28</v>
      </c>
      <c r="N63" s="13" t="s">
        <v>40</v>
      </c>
      <c r="O63" s="13" t="s">
        <v>32</v>
      </c>
      <c r="P63" s="13" t="s">
        <v>29</v>
      </c>
      <c r="Q63" s="13" t="s">
        <v>31</v>
      </c>
      <c r="R63" s="13" t="s">
        <v>40</v>
      </c>
      <c r="S63" s="13" t="s">
        <v>32</v>
      </c>
      <c r="T63" s="25" t="s">
        <v>33</v>
      </c>
      <c r="U63" s="25" t="s">
        <v>33</v>
      </c>
    </row>
    <row r="64">
      <c r="A64" s="13" t="s">
        <v>257</v>
      </c>
      <c r="B64" s="20" t="s">
        <v>258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259</v>
      </c>
      <c r="B65" s="13" t="s">
        <v>260</v>
      </c>
      <c r="C65" s="14">
        <v>8.926124638E10</v>
      </c>
      <c r="D65" s="13" t="s">
        <v>23</v>
      </c>
      <c r="E65" s="13" t="s">
        <v>261</v>
      </c>
      <c r="F65" s="13" t="s">
        <v>262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263</v>
      </c>
      <c r="B66" s="13" t="s">
        <v>264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265</v>
      </c>
      <c r="B67" s="13" t="s">
        <v>266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267</v>
      </c>
      <c r="B68" s="13" t="s">
        <v>268</v>
      </c>
      <c r="C68" s="14">
        <v>8.9130729982E10</v>
      </c>
      <c r="D68" s="13" t="s">
        <v>23</v>
      </c>
      <c r="E68" s="13" t="s">
        <v>269</v>
      </c>
      <c r="F68" s="13" t="s">
        <v>270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6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271</v>
      </c>
      <c r="B69" s="13" t="s">
        <v>272</v>
      </c>
      <c r="C69" s="14">
        <v>8.9132640662E10</v>
      </c>
      <c r="D69" s="13" t="s">
        <v>23</v>
      </c>
      <c r="E69" s="13" t="s">
        <v>273</v>
      </c>
      <c r="F69" s="13" t="s">
        <v>274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275</v>
      </c>
      <c r="B70" s="20" t="s">
        <v>276</v>
      </c>
      <c r="C70" s="14">
        <v>8.9247517592E10</v>
      </c>
      <c r="D70" s="13" t="s">
        <v>23</v>
      </c>
      <c r="E70" s="13" t="s">
        <v>277</v>
      </c>
      <c r="F70" s="13" t="s">
        <v>278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279</v>
      </c>
      <c r="B71" s="13" t="s">
        <v>280</v>
      </c>
      <c r="C71" s="14">
        <v>8.964479124E10</v>
      </c>
      <c r="D71" s="13" t="s">
        <v>52</v>
      </c>
      <c r="E71" s="13" t="s">
        <v>281</v>
      </c>
      <c r="F71" s="13" t="s">
        <v>144</v>
      </c>
      <c r="G71" s="13" t="s">
        <v>26</v>
      </c>
      <c r="H71" s="14">
        <v>46.0</v>
      </c>
      <c r="I71" s="14">
        <f t="shared" si="3"/>
        <v>4</v>
      </c>
      <c r="J71" s="13" t="s">
        <v>27</v>
      </c>
      <c r="K71" s="13" t="s">
        <v>27</v>
      </c>
      <c r="L71" s="13" t="s">
        <v>27</v>
      </c>
      <c r="M71" s="13" t="s">
        <v>27</v>
      </c>
      <c r="N71" s="13" t="s">
        <v>31</v>
      </c>
      <c r="O71" s="13" t="s">
        <v>30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282</v>
      </c>
      <c r="B72" s="20" t="s">
        <v>283</v>
      </c>
      <c r="C72" s="14">
        <v>8.9112770365E10</v>
      </c>
      <c r="D72" s="13" t="s">
        <v>23</v>
      </c>
      <c r="E72" s="13" t="s">
        <v>161</v>
      </c>
      <c r="F72" s="13" t="s">
        <v>161</v>
      </c>
      <c r="G72" s="13" t="s">
        <v>26</v>
      </c>
      <c r="H72" s="14">
        <v>41.0</v>
      </c>
      <c r="I72" s="14">
        <f t="shared" si="3"/>
        <v>2</v>
      </c>
      <c r="J72" s="13" t="s">
        <v>27</v>
      </c>
      <c r="K72" s="13" t="s">
        <v>48</v>
      </c>
      <c r="L72" s="13" t="s">
        <v>27</v>
      </c>
      <c r="M72" s="13" t="s">
        <v>48</v>
      </c>
      <c r="N72" s="13" t="s">
        <v>40</v>
      </c>
      <c r="O72" s="13" t="s">
        <v>32</v>
      </c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284</v>
      </c>
      <c r="B73" s="20" t="s">
        <v>285</v>
      </c>
      <c r="C73" s="14">
        <v>8.9687946825E10</v>
      </c>
      <c r="D73" s="13" t="s">
        <v>23</v>
      </c>
      <c r="E73" s="13" t="s">
        <v>286</v>
      </c>
      <c r="F73" s="13" t="s">
        <v>144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287</v>
      </c>
      <c r="B74" s="13" t="s">
        <v>288</v>
      </c>
      <c r="C74" s="14">
        <v>8.9527350033E10</v>
      </c>
      <c r="D74" s="13" t="s">
        <v>23</v>
      </c>
      <c r="E74" s="13" t="s">
        <v>289</v>
      </c>
      <c r="F74" s="13" t="s">
        <v>290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291</v>
      </c>
      <c r="B75" s="13" t="s">
        <v>292</v>
      </c>
      <c r="C75" s="14">
        <v>8.9785537466E10</v>
      </c>
      <c r="D75" s="13" t="s">
        <v>23</v>
      </c>
      <c r="E75" s="13" t="s">
        <v>293</v>
      </c>
      <c r="F75" s="13" t="s">
        <v>294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295</v>
      </c>
      <c r="B76" s="13" t="s">
        <v>296</v>
      </c>
      <c r="C76" s="14">
        <v>8.9179331863E10</v>
      </c>
      <c r="D76" s="13" t="s">
        <v>23</v>
      </c>
      <c r="E76" s="13" t="s">
        <v>297</v>
      </c>
      <c r="F76" s="13" t="s">
        <v>298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299</v>
      </c>
      <c r="B77" s="13" t="s">
        <v>300</v>
      </c>
      <c r="C77" s="14">
        <v>8.981918381E10</v>
      </c>
      <c r="D77" s="13" t="s">
        <v>52</v>
      </c>
      <c r="E77" s="13" t="s">
        <v>161</v>
      </c>
      <c r="F77" s="13" t="s">
        <v>161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301</v>
      </c>
      <c r="B78" s="13" t="s">
        <v>302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303</v>
      </c>
      <c r="B79" s="13" t="s">
        <v>304</v>
      </c>
      <c r="C79" s="14">
        <v>8.9997059291E10</v>
      </c>
      <c r="D79" s="13" t="s">
        <v>52</v>
      </c>
      <c r="E79" s="13" t="s">
        <v>228</v>
      </c>
      <c r="F79" s="13" t="s">
        <v>305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306</v>
      </c>
      <c r="B80" s="13" t="s">
        <v>307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308</v>
      </c>
      <c r="B81" s="13" t="s">
        <v>309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310</v>
      </c>
      <c r="B82" s="13" t="s">
        <v>311</v>
      </c>
      <c r="C82" s="14">
        <v>8.9172956229E10</v>
      </c>
      <c r="D82" s="13" t="s">
        <v>23</v>
      </c>
      <c r="E82" s="13" t="s">
        <v>84</v>
      </c>
      <c r="F82" s="13" t="s">
        <v>177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312</v>
      </c>
      <c r="B83" s="13" t="s">
        <v>313</v>
      </c>
      <c r="C83" s="14">
        <v>8.9106545358E10</v>
      </c>
      <c r="D83" s="13" t="s">
        <v>23</v>
      </c>
      <c r="E83" s="13" t="s">
        <v>205</v>
      </c>
      <c r="F83" s="13" t="s">
        <v>314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21" t="s">
        <v>40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315</v>
      </c>
      <c r="B84" s="20" t="s">
        <v>316</v>
      </c>
      <c r="C84" s="14">
        <v>8.9061930784E10</v>
      </c>
      <c r="D84" s="13" t="s">
        <v>23</v>
      </c>
      <c r="E84" s="13" t="s">
        <v>317</v>
      </c>
      <c r="F84" s="13" t="s">
        <v>213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318</v>
      </c>
      <c r="B85" s="13" t="s">
        <v>319</v>
      </c>
      <c r="C85" s="14">
        <v>8.985216852E10</v>
      </c>
      <c r="D85" s="13" t="s">
        <v>23</v>
      </c>
      <c r="E85" s="13" t="s">
        <v>36</v>
      </c>
      <c r="F85" s="13" t="s">
        <v>236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320</v>
      </c>
      <c r="B86" s="20" t="s">
        <v>321</v>
      </c>
      <c r="C86" s="14">
        <v>8.9171106075E10</v>
      </c>
      <c r="D86" s="13" t="s">
        <v>23</v>
      </c>
      <c r="E86" s="13" t="s">
        <v>322</v>
      </c>
      <c r="F86" s="13" t="s">
        <v>202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323</v>
      </c>
      <c r="B87" s="13" t="s">
        <v>324</v>
      </c>
      <c r="C87" s="14">
        <v>8.9065573691E10</v>
      </c>
      <c r="D87" s="13" t="s">
        <v>23</v>
      </c>
      <c r="E87" s="13" t="s">
        <v>113</v>
      </c>
      <c r="F87" s="13" t="s">
        <v>125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325</v>
      </c>
      <c r="B88" s="13" t="s">
        <v>326</v>
      </c>
      <c r="C88" s="14">
        <v>8.9228861925E10</v>
      </c>
      <c r="D88" s="13" t="s">
        <v>23</v>
      </c>
      <c r="E88" s="13" t="s">
        <v>327</v>
      </c>
      <c r="F88" s="13" t="s">
        <v>328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329</v>
      </c>
      <c r="B89" s="20" t="s">
        <v>330</v>
      </c>
      <c r="C89" s="14">
        <v>8.9173817627E10</v>
      </c>
      <c r="D89" s="13" t="s">
        <v>23</v>
      </c>
      <c r="E89" s="13" t="s">
        <v>331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27</v>
      </c>
      <c r="K89" s="13" t="s">
        <v>28</v>
      </c>
      <c r="L89" s="13" t="s">
        <v>28</v>
      </c>
      <c r="M89" s="13" t="s">
        <v>27</v>
      </c>
      <c r="N89" s="13" t="s">
        <v>31</v>
      </c>
      <c r="O89" s="13" t="s">
        <v>32</v>
      </c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332</v>
      </c>
      <c r="B90" s="13" t="s">
        <v>333</v>
      </c>
      <c r="C90" s="14">
        <v>8.9024729922E10</v>
      </c>
      <c r="D90" s="13" t="s">
        <v>23</v>
      </c>
      <c r="E90" s="13" t="s">
        <v>334</v>
      </c>
      <c r="F90" s="13" t="s">
        <v>335</v>
      </c>
      <c r="G90" s="13" t="s">
        <v>38</v>
      </c>
      <c r="H90" s="14">
        <v>47.0</v>
      </c>
      <c r="I90" s="14">
        <f t="shared" si="3"/>
        <v>4</v>
      </c>
      <c r="J90" s="26" t="s">
        <v>27</v>
      </c>
      <c r="K90" s="13" t="s">
        <v>27</v>
      </c>
      <c r="L90" s="13" t="s">
        <v>27</v>
      </c>
      <c r="M90" s="13" t="s">
        <v>27</v>
      </c>
      <c r="N90" s="13" t="s">
        <v>40</v>
      </c>
      <c r="O90" s="13" t="s">
        <v>32</v>
      </c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336</v>
      </c>
      <c r="B91" s="13" t="s">
        <v>337</v>
      </c>
      <c r="C91" s="14">
        <v>8.9667548632E10</v>
      </c>
      <c r="D91" s="13" t="s">
        <v>52</v>
      </c>
      <c r="E91" s="13" t="s">
        <v>161</v>
      </c>
      <c r="F91" s="13" t="s">
        <v>161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27</v>
      </c>
      <c r="M91" s="13" t="s">
        <v>48</v>
      </c>
      <c r="N91" s="13"/>
      <c r="O91" s="13"/>
      <c r="P91" s="13" t="s">
        <v>29</v>
      </c>
      <c r="Q91" s="13" t="s">
        <v>31</v>
      </c>
      <c r="R91" s="13" t="s">
        <v>40</v>
      </c>
      <c r="S91" s="13" t="s">
        <v>32</v>
      </c>
      <c r="T91" s="13"/>
      <c r="U91" s="13"/>
    </row>
    <row r="92">
      <c r="A92" s="13" t="s">
        <v>338</v>
      </c>
      <c r="B92" s="13" t="s">
        <v>339</v>
      </c>
      <c r="C92" s="14">
        <v>8.9127629383E10</v>
      </c>
      <c r="D92" s="13" t="s">
        <v>23</v>
      </c>
      <c r="E92" s="13" t="s">
        <v>171</v>
      </c>
      <c r="F92" s="13" t="s">
        <v>172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340</v>
      </c>
      <c r="B93" s="13" t="s">
        <v>341</v>
      </c>
      <c r="C93" s="14">
        <v>8.910107075E10</v>
      </c>
      <c r="D93" s="13" t="s">
        <v>23</v>
      </c>
      <c r="E93" s="13" t="s">
        <v>342</v>
      </c>
      <c r="F93" s="13" t="s">
        <v>125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343</v>
      </c>
      <c r="B94" s="13" t="s">
        <v>344</v>
      </c>
      <c r="C94" s="14">
        <v>8.9234380914E10</v>
      </c>
      <c r="D94" s="13" t="s">
        <v>52</v>
      </c>
      <c r="E94" s="13" t="s">
        <v>345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346</v>
      </c>
      <c r="B95" s="20" t="s">
        <v>347</v>
      </c>
      <c r="C95" s="14">
        <v>8.90238138E10</v>
      </c>
      <c r="D95" s="13" t="s">
        <v>23</v>
      </c>
      <c r="E95" s="13" t="s">
        <v>184</v>
      </c>
      <c r="F95" s="13" t="s">
        <v>185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348</v>
      </c>
      <c r="B96" s="13" t="s">
        <v>349</v>
      </c>
      <c r="C96" s="14">
        <v>8.9063900692E10</v>
      </c>
      <c r="D96" s="13" t="s">
        <v>23</v>
      </c>
      <c r="E96" s="13" t="s">
        <v>350</v>
      </c>
      <c r="F96" s="13" t="s">
        <v>351</v>
      </c>
      <c r="G96" s="13" t="s">
        <v>26</v>
      </c>
      <c r="H96" s="14">
        <v>40.0</v>
      </c>
      <c r="I96" s="14">
        <f t="shared" si="3"/>
        <v>2</v>
      </c>
      <c r="J96" s="13" t="s">
        <v>39</v>
      </c>
      <c r="K96" s="13" t="s">
        <v>28</v>
      </c>
      <c r="L96" s="26" t="s">
        <v>86</v>
      </c>
      <c r="M96" s="13" t="s">
        <v>27</v>
      </c>
      <c r="N96" s="13"/>
      <c r="O96" s="13"/>
      <c r="P96" s="25" t="s">
        <v>33</v>
      </c>
      <c r="Q96" s="25" t="s">
        <v>33</v>
      </c>
      <c r="R96" s="25" t="s">
        <v>33</v>
      </c>
      <c r="S96" s="25" t="s">
        <v>33</v>
      </c>
      <c r="T96" s="13" t="s">
        <v>31</v>
      </c>
      <c r="U96" s="13" t="s">
        <v>32</v>
      </c>
    </row>
    <row r="97">
      <c r="A97" s="13" t="s">
        <v>352</v>
      </c>
      <c r="B97" s="13" t="s">
        <v>353</v>
      </c>
      <c r="C97" s="14">
        <v>8.9288423575E10</v>
      </c>
      <c r="D97" s="13" t="s">
        <v>52</v>
      </c>
      <c r="E97" s="13" t="s">
        <v>144</v>
      </c>
      <c r="F97" s="13" t="s">
        <v>144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354</v>
      </c>
      <c r="B98" s="13" t="s">
        <v>355</v>
      </c>
      <c r="C98" s="14">
        <v>8.9272552207E10</v>
      </c>
      <c r="D98" s="13" t="s">
        <v>23</v>
      </c>
      <c r="E98" s="13" t="s">
        <v>184</v>
      </c>
      <c r="F98" s="13" t="s">
        <v>185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356</v>
      </c>
      <c r="B99" s="20" t="s">
        <v>357</v>
      </c>
      <c r="C99" s="14">
        <v>8.9105012024E10</v>
      </c>
      <c r="D99" s="13" t="s">
        <v>52</v>
      </c>
      <c r="E99" s="13" t="s">
        <v>358</v>
      </c>
      <c r="F99" s="13" t="s">
        <v>358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26" t="s">
        <v>27</v>
      </c>
      <c r="L99" s="13" t="s">
        <v>27</v>
      </c>
      <c r="M99" s="13" t="s">
        <v>27</v>
      </c>
      <c r="N99" s="13" t="s">
        <v>29</v>
      </c>
      <c r="O99" s="13" t="s">
        <v>30</v>
      </c>
      <c r="P99" s="13" t="s">
        <v>40</v>
      </c>
      <c r="Q99" s="13" t="s">
        <v>30</v>
      </c>
      <c r="R99" s="13" t="s">
        <v>29</v>
      </c>
      <c r="S99" s="13" t="s">
        <v>30</v>
      </c>
      <c r="T99" s="13" t="s">
        <v>29</v>
      </c>
      <c r="U99" s="13" t="s">
        <v>30</v>
      </c>
    </row>
    <row r="100">
      <c r="A100" s="13" t="s">
        <v>359</v>
      </c>
      <c r="B100" s="13" t="s">
        <v>360</v>
      </c>
      <c r="C100" s="14">
        <v>8.9533316231E10</v>
      </c>
      <c r="D100" s="13" t="s">
        <v>23</v>
      </c>
      <c r="E100" s="13" t="s">
        <v>361</v>
      </c>
      <c r="F100" s="13" t="s">
        <v>362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363</v>
      </c>
      <c r="B101" s="13" t="s">
        <v>364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365</v>
      </c>
      <c r="B102" s="13" t="s">
        <v>366</v>
      </c>
      <c r="C102" s="14">
        <v>8.9247047975E10</v>
      </c>
      <c r="D102" s="13" t="s">
        <v>23</v>
      </c>
      <c r="E102" s="13" t="s">
        <v>367</v>
      </c>
      <c r="F102" s="13" t="s">
        <v>368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369</v>
      </c>
      <c r="B103" s="13" t="s">
        <v>370</v>
      </c>
      <c r="C103" s="14">
        <v>8.9176004996E10</v>
      </c>
      <c r="D103" s="13" t="s">
        <v>23</v>
      </c>
      <c r="E103" s="13" t="s">
        <v>371</v>
      </c>
      <c r="F103" s="13" t="s">
        <v>372</v>
      </c>
      <c r="G103" s="13" t="s">
        <v>26</v>
      </c>
      <c r="H103" s="14">
        <v>40.0</v>
      </c>
      <c r="I103" s="14">
        <f t="shared" si="3"/>
        <v>2</v>
      </c>
      <c r="J103" s="21" t="s">
        <v>27</v>
      </c>
      <c r="K103" s="13" t="s">
        <v>27</v>
      </c>
      <c r="L103" s="13" t="s">
        <v>48</v>
      </c>
      <c r="M103" s="13" t="s">
        <v>48</v>
      </c>
      <c r="N103" s="13" t="s">
        <v>29</v>
      </c>
      <c r="O103" s="13" t="s">
        <v>30</v>
      </c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373</v>
      </c>
      <c r="B104" s="13" t="s">
        <v>374</v>
      </c>
      <c r="C104" s="14">
        <v>8.9958810686E10</v>
      </c>
      <c r="D104" s="13" t="s">
        <v>23</v>
      </c>
      <c r="E104" s="13" t="s">
        <v>192</v>
      </c>
      <c r="F104" s="13" t="s">
        <v>375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376</v>
      </c>
      <c r="B105" s="20" t="s">
        <v>377</v>
      </c>
      <c r="C105" s="14">
        <v>8.9213285851E10</v>
      </c>
      <c r="D105" s="13" t="s">
        <v>23</v>
      </c>
      <c r="E105" s="13" t="s">
        <v>144</v>
      </c>
      <c r="F105" s="13" t="s">
        <v>144</v>
      </c>
      <c r="G105" s="13" t="s">
        <v>38</v>
      </c>
      <c r="H105" s="14">
        <v>51.0</v>
      </c>
      <c r="I105" s="14">
        <f t="shared" si="3"/>
        <v>4</v>
      </c>
      <c r="J105" s="13" t="s">
        <v>27</v>
      </c>
      <c r="K105" s="13" t="s">
        <v>27</v>
      </c>
      <c r="L105" s="13" t="s">
        <v>27</v>
      </c>
      <c r="M105" s="26" t="s">
        <v>27</v>
      </c>
      <c r="N105" s="13" t="s">
        <v>29</v>
      </c>
      <c r="O105" s="13" t="s">
        <v>31</v>
      </c>
      <c r="P105" s="13" t="s">
        <v>29</v>
      </c>
      <c r="Q105" s="13" t="s">
        <v>31</v>
      </c>
      <c r="R105" s="13" t="s">
        <v>29</v>
      </c>
      <c r="S105" s="13" t="s">
        <v>31</v>
      </c>
      <c r="T105" s="13" t="s">
        <v>40</v>
      </c>
      <c r="U105" s="13" t="s">
        <v>32</v>
      </c>
    </row>
    <row r="106">
      <c r="A106" s="13" t="s">
        <v>378</v>
      </c>
      <c r="B106" s="20" t="s">
        <v>379</v>
      </c>
      <c r="C106" s="14">
        <v>8.9882503041E10</v>
      </c>
      <c r="D106" s="13" t="s">
        <v>23</v>
      </c>
      <c r="E106" s="13" t="s">
        <v>380</v>
      </c>
      <c r="F106" s="13" t="s">
        <v>381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21" t="s">
        <v>27</v>
      </c>
      <c r="M106" s="13" t="s">
        <v>27</v>
      </c>
      <c r="N106" s="13"/>
      <c r="O106" s="13"/>
      <c r="P106" s="13" t="s">
        <v>29</v>
      </c>
      <c r="Q106" s="13" t="s">
        <v>30</v>
      </c>
      <c r="R106" s="13" t="s">
        <v>40</v>
      </c>
      <c r="S106" s="13" t="s">
        <v>32</v>
      </c>
      <c r="T106" s="21" t="s">
        <v>40</v>
      </c>
      <c r="U106" s="13" t="s">
        <v>32</v>
      </c>
    </row>
    <row r="107">
      <c r="A107" s="13" t="s">
        <v>382</v>
      </c>
      <c r="B107" s="20" t="s">
        <v>383</v>
      </c>
      <c r="C107" s="14">
        <v>8.9530371763E10</v>
      </c>
      <c r="D107" s="13" t="s">
        <v>23</v>
      </c>
      <c r="E107" s="13" t="s">
        <v>384</v>
      </c>
      <c r="F107" s="13" t="s">
        <v>274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385</v>
      </c>
      <c r="B108" s="13" t="s">
        <v>386</v>
      </c>
      <c r="C108" s="14">
        <v>8.9867433286E10</v>
      </c>
      <c r="D108" s="13" t="s">
        <v>23</v>
      </c>
      <c r="E108" s="13" t="s">
        <v>84</v>
      </c>
      <c r="F108" s="13" t="s">
        <v>177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387</v>
      </c>
      <c r="B109" s="20" t="s">
        <v>388</v>
      </c>
      <c r="C109" s="14">
        <v>8.9144752213E10</v>
      </c>
      <c r="D109" s="13" t="s">
        <v>23</v>
      </c>
      <c r="E109" s="13" t="s">
        <v>389</v>
      </c>
      <c r="F109" s="13" t="s">
        <v>390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391</v>
      </c>
      <c r="B110" s="20" t="s">
        <v>392</v>
      </c>
      <c r="C110" s="14">
        <v>8.9528012694E10</v>
      </c>
      <c r="D110" s="13" t="s">
        <v>23</v>
      </c>
      <c r="E110" s="13" t="s">
        <v>393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394</v>
      </c>
      <c r="B111" s="20" t="s">
        <v>395</v>
      </c>
      <c r="C111" s="14">
        <v>8.9835458415E10</v>
      </c>
      <c r="D111" s="13" t="s">
        <v>23</v>
      </c>
      <c r="E111" s="13" t="s">
        <v>384</v>
      </c>
      <c r="F111" s="13" t="s">
        <v>274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396</v>
      </c>
      <c r="B112" s="20" t="s">
        <v>397</v>
      </c>
      <c r="C112" s="14">
        <v>8.9045573468E10</v>
      </c>
      <c r="D112" s="13" t="s">
        <v>23</v>
      </c>
      <c r="E112" s="13" t="s">
        <v>106</v>
      </c>
      <c r="F112" s="13" t="s">
        <v>398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399</v>
      </c>
      <c r="B113" s="13" t="s">
        <v>400</v>
      </c>
      <c r="C113" s="14">
        <v>8.9656357339E10</v>
      </c>
      <c r="D113" s="13" t="s">
        <v>23</v>
      </c>
      <c r="E113" s="13" t="s">
        <v>401</v>
      </c>
      <c r="F113" s="13" t="s">
        <v>402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403</v>
      </c>
      <c r="B114" s="20" t="s">
        <v>404</v>
      </c>
      <c r="C114" s="14">
        <v>8.9124676438E10</v>
      </c>
      <c r="D114" s="13" t="s">
        <v>23</v>
      </c>
      <c r="E114" s="13" t="s">
        <v>405</v>
      </c>
      <c r="F114" s="13" t="s">
        <v>181</v>
      </c>
      <c r="G114" s="13"/>
      <c r="H114" s="13"/>
      <c r="I114" s="14">
        <f>COUNTIF(J114:M114, "Да")</f>
        <v>3</v>
      </c>
      <c r="J114" s="26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406</v>
      </c>
      <c r="B115" s="13" t="s">
        <v>407</v>
      </c>
      <c r="C115" s="14">
        <v>8.9960238005E10</v>
      </c>
      <c r="D115" s="13" t="s">
        <v>52</v>
      </c>
      <c r="E115" s="13" t="s">
        <v>389</v>
      </c>
      <c r="F115" s="13" t="s">
        <v>408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409</v>
      </c>
      <c r="B116" s="13" t="s">
        <v>410</v>
      </c>
      <c r="C116" s="14">
        <v>8.9375458841E10</v>
      </c>
      <c r="D116" s="13" t="s">
        <v>23</v>
      </c>
      <c r="E116" s="13" t="s">
        <v>297</v>
      </c>
      <c r="F116" s="13" t="s">
        <v>411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412</v>
      </c>
      <c r="B117" s="13" t="s">
        <v>413</v>
      </c>
      <c r="C117" s="14">
        <v>8.9670678091E10</v>
      </c>
      <c r="D117" s="13" t="s">
        <v>52</v>
      </c>
      <c r="E117" s="13" t="s">
        <v>77</v>
      </c>
      <c r="F117" s="13" t="s">
        <v>414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415</v>
      </c>
      <c r="B118" s="13" t="s">
        <v>416</v>
      </c>
      <c r="C118" s="14">
        <v>8.9372625551E10</v>
      </c>
      <c r="D118" s="13" t="s">
        <v>23</v>
      </c>
      <c r="E118" s="14">
        <v>64.0</v>
      </c>
      <c r="F118" s="13" t="s">
        <v>148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417</v>
      </c>
      <c r="B119" s="13" t="s">
        <v>418</v>
      </c>
      <c r="C119" s="14">
        <v>8.9114711736E10</v>
      </c>
      <c r="D119" s="13" t="s">
        <v>52</v>
      </c>
      <c r="E119" s="13" t="s">
        <v>171</v>
      </c>
      <c r="F119" s="13" t="s">
        <v>172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419</v>
      </c>
      <c r="B120" s="20" t="s">
        <v>420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421</v>
      </c>
      <c r="B121" s="13" t="s">
        <v>422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423</v>
      </c>
      <c r="B122" s="20" t="s">
        <v>424</v>
      </c>
      <c r="C122" s="14">
        <v>8.9171791637E10</v>
      </c>
      <c r="D122" s="13" t="s">
        <v>23</v>
      </c>
      <c r="E122" s="13" t="s">
        <v>425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426</v>
      </c>
      <c r="B123" s="13" t="s">
        <v>427</v>
      </c>
      <c r="C123" s="14">
        <v>8.9196070227E10</v>
      </c>
      <c r="D123" s="13" t="s">
        <v>23</v>
      </c>
      <c r="E123" s="13" t="s">
        <v>132</v>
      </c>
      <c r="F123" s="13" t="s">
        <v>428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429</v>
      </c>
      <c r="B124" s="20" t="s">
        <v>430</v>
      </c>
      <c r="C124" s="14">
        <v>8.986907922E10</v>
      </c>
      <c r="D124" s="13" t="s">
        <v>52</v>
      </c>
      <c r="E124" s="13" t="s">
        <v>84</v>
      </c>
      <c r="F124" s="13" t="s">
        <v>177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431</v>
      </c>
      <c r="B125" s="20" t="s">
        <v>432</v>
      </c>
      <c r="C125" s="14">
        <v>8.9233503408E10</v>
      </c>
      <c r="D125" s="13" t="s">
        <v>23</v>
      </c>
      <c r="E125" s="13" t="s">
        <v>433</v>
      </c>
      <c r="F125" s="13" t="s">
        <v>140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434</v>
      </c>
      <c r="B126" s="13" t="s">
        <v>435</v>
      </c>
      <c r="C126" s="14">
        <v>8.927607349E10</v>
      </c>
      <c r="D126" s="13" t="s">
        <v>23</v>
      </c>
      <c r="E126" s="13" t="s">
        <v>322</v>
      </c>
      <c r="F126" s="13" t="s">
        <v>202</v>
      </c>
      <c r="G126" s="13" t="s">
        <v>26</v>
      </c>
      <c r="H126" s="14">
        <v>26.0</v>
      </c>
      <c r="I126" s="14">
        <f t="shared" si="4"/>
        <v>4</v>
      </c>
      <c r="J126" s="13" t="s">
        <v>27</v>
      </c>
      <c r="K126" s="13" t="s">
        <v>27</v>
      </c>
      <c r="L126" s="13" t="s">
        <v>27</v>
      </c>
      <c r="M126" s="21" t="s">
        <v>27</v>
      </c>
      <c r="N126" s="13" t="s">
        <v>29</v>
      </c>
      <c r="O126" s="13" t="s">
        <v>30</v>
      </c>
      <c r="P126" s="13" t="s">
        <v>31</v>
      </c>
      <c r="Q126" s="13" t="s">
        <v>32</v>
      </c>
      <c r="R126" s="13" t="s">
        <v>29</v>
      </c>
      <c r="S126" s="13" t="s">
        <v>30</v>
      </c>
      <c r="T126" s="21" t="s">
        <v>40</v>
      </c>
      <c r="U126" s="13" t="s">
        <v>32</v>
      </c>
    </row>
    <row r="127">
      <c r="A127" s="13" t="s">
        <v>436</v>
      </c>
      <c r="B127" s="18" t="s">
        <v>437</v>
      </c>
      <c r="C127" s="14">
        <v>8.9967686968E10</v>
      </c>
      <c r="D127" s="13" t="s">
        <v>23</v>
      </c>
      <c r="E127" s="13" t="s">
        <v>438</v>
      </c>
      <c r="F127" s="13" t="s">
        <v>144</v>
      </c>
      <c r="G127" s="13" t="s">
        <v>38</v>
      </c>
      <c r="H127" s="14">
        <v>45.0</v>
      </c>
      <c r="I127" s="26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439</v>
      </c>
      <c r="B128" s="13" t="s">
        <v>440</v>
      </c>
      <c r="C128" s="14">
        <v>8.9061968689E10</v>
      </c>
      <c r="D128" s="13" t="s">
        <v>23</v>
      </c>
      <c r="E128" s="13" t="s">
        <v>273</v>
      </c>
      <c r="F128" s="13" t="s">
        <v>441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442</v>
      </c>
      <c r="B129" s="20" t="s">
        <v>443</v>
      </c>
      <c r="C129" s="14">
        <v>8.9525293042E10</v>
      </c>
      <c r="D129" s="13" t="s">
        <v>52</v>
      </c>
      <c r="E129" s="13" t="s">
        <v>224</v>
      </c>
      <c r="F129" s="13" t="s">
        <v>225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444</v>
      </c>
      <c r="B130" s="13" t="s">
        <v>445</v>
      </c>
      <c r="C130" s="14">
        <v>8.9680138063E10</v>
      </c>
      <c r="D130" s="13" t="s">
        <v>23</v>
      </c>
      <c r="E130" s="13" t="s">
        <v>239</v>
      </c>
      <c r="F130" s="13" t="s">
        <v>240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446</v>
      </c>
      <c r="B131" s="13" t="s">
        <v>447</v>
      </c>
      <c r="C131" s="14">
        <v>8.9009053337E10</v>
      </c>
      <c r="D131" s="13" t="s">
        <v>23</v>
      </c>
      <c r="E131" s="13" t="s">
        <v>448</v>
      </c>
      <c r="F131" s="13" t="s">
        <v>449</v>
      </c>
      <c r="G131" s="13" t="s">
        <v>26</v>
      </c>
      <c r="H131" s="14">
        <v>39.0</v>
      </c>
      <c r="I131" s="14">
        <f t="shared" si="5"/>
        <v>4</v>
      </c>
      <c r="J131" s="13" t="s">
        <v>27</v>
      </c>
      <c r="K131" s="13" t="s">
        <v>27</v>
      </c>
      <c r="L131" s="13" t="s">
        <v>39</v>
      </c>
      <c r="M131" s="13" t="s">
        <v>27</v>
      </c>
      <c r="N131" s="13" t="s">
        <v>29</v>
      </c>
      <c r="O131" s="13" t="s">
        <v>30</v>
      </c>
      <c r="P131" s="13" t="s">
        <v>29</v>
      </c>
      <c r="Q131" s="13" t="s">
        <v>30</v>
      </c>
      <c r="R131" s="13"/>
      <c r="S131" s="13"/>
      <c r="T131" s="13" t="s">
        <v>40</v>
      </c>
      <c r="U131" s="13" t="s">
        <v>31</v>
      </c>
    </row>
    <row r="132">
      <c r="A132" s="13" t="s">
        <v>450</v>
      </c>
      <c r="B132" s="20" t="s">
        <v>451</v>
      </c>
      <c r="C132" s="14">
        <v>8.9043817591E10</v>
      </c>
      <c r="D132" s="13" t="s">
        <v>23</v>
      </c>
      <c r="E132" s="13" t="s">
        <v>452</v>
      </c>
      <c r="F132" s="13" t="s">
        <v>290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453</v>
      </c>
      <c r="B133" s="13" t="s">
        <v>454</v>
      </c>
      <c r="C133" s="14">
        <v>8.9969233065E10</v>
      </c>
      <c r="D133" s="13" t="s">
        <v>23</v>
      </c>
      <c r="E133" s="13" t="s">
        <v>36</v>
      </c>
      <c r="F133" s="13" t="s">
        <v>455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456</v>
      </c>
      <c r="B134" s="20" t="s">
        <v>457</v>
      </c>
      <c r="C134" s="14">
        <v>8.914152599E10</v>
      </c>
      <c r="D134" s="13" t="s">
        <v>23</v>
      </c>
      <c r="E134" s="13" t="s">
        <v>458</v>
      </c>
      <c r="F134" s="13" t="s">
        <v>459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460</v>
      </c>
      <c r="B135" s="13" t="s">
        <v>461</v>
      </c>
      <c r="C135" s="14">
        <v>8.902783375E10</v>
      </c>
      <c r="D135" s="13" t="s">
        <v>23</v>
      </c>
      <c r="E135" s="13" t="s">
        <v>342</v>
      </c>
      <c r="F135" s="13" t="s">
        <v>462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463</v>
      </c>
      <c r="B136" s="13" t="s">
        <v>464</v>
      </c>
      <c r="C136" s="14">
        <v>8.9536775789E10</v>
      </c>
      <c r="D136" s="13" t="s">
        <v>23</v>
      </c>
      <c r="E136" s="13" t="s">
        <v>465</v>
      </c>
      <c r="F136" s="13" t="s">
        <v>466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467</v>
      </c>
      <c r="B137" s="13" t="s">
        <v>468</v>
      </c>
      <c r="C137" s="14">
        <v>8.9155929465E10</v>
      </c>
      <c r="D137" s="13" t="s">
        <v>23</v>
      </c>
      <c r="E137" s="13" t="s">
        <v>469</v>
      </c>
      <c r="F137" s="13" t="s">
        <v>358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470</v>
      </c>
      <c r="B138" s="13" t="s">
        <v>471</v>
      </c>
      <c r="C138" s="14">
        <v>8.9278729101E10</v>
      </c>
      <c r="D138" s="13" t="s">
        <v>23</v>
      </c>
      <c r="E138" s="13" t="s">
        <v>472</v>
      </c>
      <c r="F138" s="13" t="s">
        <v>473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474</v>
      </c>
      <c r="B139" s="13" t="s">
        <v>475</v>
      </c>
      <c r="C139" s="14">
        <v>8.9640046593E10</v>
      </c>
      <c r="D139" s="13" t="s">
        <v>23</v>
      </c>
      <c r="E139" s="13" t="s">
        <v>476</v>
      </c>
      <c r="F139" s="13" t="s">
        <v>477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478</v>
      </c>
      <c r="B140" s="13" t="s">
        <v>479</v>
      </c>
      <c r="C140" s="14">
        <v>8.9818441643E10</v>
      </c>
      <c r="D140" s="13" t="s">
        <v>52</v>
      </c>
      <c r="E140" s="13" t="s">
        <v>144</v>
      </c>
      <c r="F140" s="13" t="s">
        <v>144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480</v>
      </c>
      <c r="B141" s="13" t="s">
        <v>481</v>
      </c>
      <c r="C141" s="14">
        <v>8.9281190239E10</v>
      </c>
      <c r="D141" s="13" t="s">
        <v>23</v>
      </c>
      <c r="E141" s="13" t="s">
        <v>482</v>
      </c>
      <c r="F141" s="13" t="s">
        <v>483</v>
      </c>
      <c r="G141" s="13" t="s">
        <v>26</v>
      </c>
      <c r="H141" s="14">
        <v>42.0</v>
      </c>
      <c r="I141" s="14">
        <f t="shared" si="5"/>
        <v>4</v>
      </c>
      <c r="J141" s="13" t="s">
        <v>27</v>
      </c>
      <c r="K141" s="26" t="s">
        <v>27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13" t="s">
        <v>29</v>
      </c>
      <c r="Q141" s="13" t="s">
        <v>30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484</v>
      </c>
      <c r="B142" s="13" t="s">
        <v>485</v>
      </c>
      <c r="C142" s="14">
        <v>8.9042105542E10</v>
      </c>
      <c r="D142" s="13" t="s">
        <v>52</v>
      </c>
      <c r="E142" s="13" t="s">
        <v>121</v>
      </c>
      <c r="F142" s="13" t="s">
        <v>122</v>
      </c>
      <c r="G142" s="13" t="s">
        <v>38</v>
      </c>
      <c r="H142" s="14">
        <v>37.0</v>
      </c>
      <c r="I142" s="14">
        <f t="shared" si="5"/>
        <v>4</v>
      </c>
      <c r="J142" s="13" t="s">
        <v>27</v>
      </c>
      <c r="K142" s="13" t="s">
        <v>27</v>
      </c>
      <c r="L142" s="13" t="s">
        <v>27</v>
      </c>
      <c r="M142" s="13" t="s">
        <v>27</v>
      </c>
      <c r="N142" s="13" t="s">
        <v>31</v>
      </c>
      <c r="O142" s="13" t="s">
        <v>30</v>
      </c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486</v>
      </c>
      <c r="B143" s="13" t="s">
        <v>487</v>
      </c>
      <c r="C143" s="14">
        <v>8.9786742029E10</v>
      </c>
      <c r="D143" s="13" t="s">
        <v>52</v>
      </c>
      <c r="E143" s="13" t="s">
        <v>488</v>
      </c>
      <c r="F143" s="13" t="s">
        <v>489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490</v>
      </c>
      <c r="B144" s="20" t="s">
        <v>491</v>
      </c>
      <c r="C144" s="14">
        <v>8.900606158E10</v>
      </c>
      <c r="D144" s="13" t="s">
        <v>23</v>
      </c>
      <c r="E144" s="13" t="s">
        <v>358</v>
      </c>
      <c r="F144" s="13" t="s">
        <v>358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492</v>
      </c>
      <c r="B145" s="20" t="s">
        <v>493</v>
      </c>
      <c r="C145" s="14">
        <v>8.9504479502E10</v>
      </c>
      <c r="D145" s="13" t="s">
        <v>52</v>
      </c>
      <c r="E145" s="13" t="s">
        <v>494</v>
      </c>
      <c r="F145" s="13" t="s">
        <v>335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495</v>
      </c>
      <c r="B146" s="20" t="s">
        <v>496</v>
      </c>
      <c r="C146" s="14">
        <v>8.9376248031E10</v>
      </c>
      <c r="D146" s="13" t="s">
        <v>23</v>
      </c>
      <c r="E146" s="13" t="s">
        <v>84</v>
      </c>
      <c r="F146" s="13" t="s">
        <v>177</v>
      </c>
      <c r="G146" s="13" t="s">
        <v>38</v>
      </c>
      <c r="H146" s="14">
        <v>19.0</v>
      </c>
      <c r="I146" s="14">
        <f t="shared" si="5"/>
        <v>4</v>
      </c>
      <c r="J146" s="13" t="s">
        <v>27</v>
      </c>
      <c r="K146" s="13" t="s">
        <v>27</v>
      </c>
      <c r="L146" s="13" t="s">
        <v>27</v>
      </c>
      <c r="M146" s="13" t="s">
        <v>27</v>
      </c>
      <c r="N146" s="13" t="s">
        <v>29</v>
      </c>
      <c r="O146" s="13" t="s">
        <v>31</v>
      </c>
      <c r="P146" s="13" t="s">
        <v>29</v>
      </c>
      <c r="Q146" s="13" t="s">
        <v>30</v>
      </c>
      <c r="R146" s="13" t="s">
        <v>29</v>
      </c>
      <c r="S146" s="13" t="s">
        <v>30</v>
      </c>
      <c r="T146" s="13" t="s">
        <v>29</v>
      </c>
      <c r="U146" s="13" t="s">
        <v>31</v>
      </c>
    </row>
    <row r="147">
      <c r="A147" s="13" t="s">
        <v>497</v>
      </c>
      <c r="B147" s="13" t="s">
        <v>498</v>
      </c>
      <c r="C147" s="14">
        <v>8.9377894952E10</v>
      </c>
      <c r="D147" s="13" t="s">
        <v>23</v>
      </c>
      <c r="E147" s="13" t="s">
        <v>84</v>
      </c>
      <c r="F147" s="13" t="s">
        <v>177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499</v>
      </c>
      <c r="B148" s="13" t="s">
        <v>500</v>
      </c>
      <c r="C148" s="14">
        <v>8.9062467575E10</v>
      </c>
      <c r="D148" s="13" t="s">
        <v>23</v>
      </c>
      <c r="E148" s="13" t="s">
        <v>144</v>
      </c>
      <c r="F148" s="13" t="s">
        <v>144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501</v>
      </c>
      <c r="B149" s="20" t="s">
        <v>502</v>
      </c>
      <c r="C149" s="14">
        <v>8.9254200879E10</v>
      </c>
      <c r="D149" s="13" t="s">
        <v>52</v>
      </c>
      <c r="E149" s="13" t="s">
        <v>503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504</v>
      </c>
      <c r="B150" s="20" t="s">
        <v>505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27</v>
      </c>
      <c r="K150" s="13" t="s">
        <v>27</v>
      </c>
      <c r="L150" s="13" t="s">
        <v>27</v>
      </c>
      <c r="M150" s="13" t="s">
        <v>27</v>
      </c>
      <c r="N150" s="13" t="s">
        <v>40</v>
      </c>
      <c r="O150" s="13" t="s">
        <v>31</v>
      </c>
      <c r="P150" s="13" t="s">
        <v>40</v>
      </c>
      <c r="Q150" s="13" t="s">
        <v>30</v>
      </c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506</v>
      </c>
      <c r="B151" s="20" t="s">
        <v>507</v>
      </c>
      <c r="C151" s="14">
        <v>8.9063478626E10</v>
      </c>
      <c r="D151" s="13" t="s">
        <v>23</v>
      </c>
      <c r="E151" s="13" t="s">
        <v>157</v>
      </c>
      <c r="F151" s="13" t="s">
        <v>202</v>
      </c>
      <c r="G151" s="13" t="s">
        <v>26</v>
      </c>
      <c r="H151" s="14">
        <v>24.0</v>
      </c>
      <c r="I151" s="14">
        <f t="shared" si="5"/>
        <v>4</v>
      </c>
      <c r="J151" s="13" t="s">
        <v>27</v>
      </c>
      <c r="K151" s="13" t="s">
        <v>27</v>
      </c>
      <c r="L151" s="13" t="s">
        <v>27</v>
      </c>
      <c r="M151" s="13" t="s">
        <v>27</v>
      </c>
      <c r="N151" s="13" t="s">
        <v>29</v>
      </c>
      <c r="O151" s="13" t="s">
        <v>31</v>
      </c>
      <c r="P151" s="13" t="s">
        <v>29</v>
      </c>
      <c r="Q151" s="13" t="s">
        <v>31</v>
      </c>
      <c r="R151" s="13" t="s">
        <v>29</v>
      </c>
      <c r="S151" s="13" t="s">
        <v>31</v>
      </c>
      <c r="T151" s="13" t="s">
        <v>29</v>
      </c>
      <c r="U151" s="21" t="s">
        <v>30</v>
      </c>
    </row>
    <row r="152">
      <c r="A152" s="13" t="s">
        <v>508</v>
      </c>
      <c r="B152" s="13" t="s">
        <v>509</v>
      </c>
      <c r="C152" s="14">
        <v>8.9370280509E10</v>
      </c>
      <c r="D152" s="13" t="s">
        <v>23</v>
      </c>
      <c r="E152" s="13" t="s">
        <v>199</v>
      </c>
      <c r="F152" s="13" t="s">
        <v>510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26" t="s">
        <v>27</v>
      </c>
      <c r="L152" s="13" t="s">
        <v>27</v>
      </c>
      <c r="M152" s="13" t="s">
        <v>27</v>
      </c>
      <c r="N152" s="13"/>
      <c r="O152" s="13"/>
      <c r="P152" s="13" t="s">
        <v>40</v>
      </c>
      <c r="Q152" s="13" t="s">
        <v>30</v>
      </c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511</v>
      </c>
      <c r="B153" s="20" t="s">
        <v>512</v>
      </c>
      <c r="C153" s="14">
        <v>8.9082514848E10</v>
      </c>
      <c r="D153" s="13" t="s">
        <v>23</v>
      </c>
      <c r="E153" s="13" t="s">
        <v>494</v>
      </c>
      <c r="F153" s="13" t="s">
        <v>513</v>
      </c>
      <c r="G153" s="13" t="s">
        <v>38</v>
      </c>
      <c r="H153" s="14">
        <v>31.0</v>
      </c>
      <c r="I153" s="14">
        <f t="shared" si="5"/>
        <v>2</v>
      </c>
      <c r="J153" s="13" t="s">
        <v>48</v>
      </c>
      <c r="K153" s="13" t="s">
        <v>27</v>
      </c>
      <c r="L153" s="13" t="s">
        <v>39</v>
      </c>
      <c r="M153" s="26" t="s">
        <v>86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25" t="s">
        <v>33</v>
      </c>
      <c r="U153" s="25" t="s">
        <v>33</v>
      </c>
    </row>
    <row r="154">
      <c r="A154" s="13" t="s">
        <v>514</v>
      </c>
      <c r="B154" s="13" t="s">
        <v>515</v>
      </c>
      <c r="C154" s="14">
        <v>8.9200106562E10</v>
      </c>
      <c r="D154" s="13" t="s">
        <v>23</v>
      </c>
      <c r="E154" s="13" t="s">
        <v>342</v>
      </c>
      <c r="F154" s="13" t="s">
        <v>101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516</v>
      </c>
      <c r="B155" s="13" t="s">
        <v>517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518</v>
      </c>
      <c r="B156" s="13" t="s">
        <v>519</v>
      </c>
      <c r="C156" s="14">
        <v>8.9530897291E10</v>
      </c>
      <c r="D156" s="13" t="s">
        <v>52</v>
      </c>
      <c r="E156" s="13" t="s">
        <v>520</v>
      </c>
      <c r="F156" s="13" t="s">
        <v>521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522</v>
      </c>
      <c r="B157" s="13" t="s">
        <v>523</v>
      </c>
      <c r="C157" s="14">
        <v>8.9057841817E10</v>
      </c>
      <c r="D157" s="13" t="s">
        <v>23</v>
      </c>
      <c r="E157" s="13" t="s">
        <v>77</v>
      </c>
      <c r="F157" s="13" t="s">
        <v>524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525</v>
      </c>
      <c r="B158" s="13" t="s">
        <v>526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527</v>
      </c>
      <c r="B159" s="20" t="s">
        <v>528</v>
      </c>
      <c r="C159" s="14">
        <v>8.9122122008E10</v>
      </c>
      <c r="D159" s="13" t="s">
        <v>23</v>
      </c>
      <c r="E159" s="13" t="s">
        <v>452</v>
      </c>
      <c r="F159" s="13" t="s">
        <v>290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529</v>
      </c>
      <c r="B160" s="20" t="s">
        <v>530</v>
      </c>
      <c r="C160" s="14">
        <v>8.9030939903E10</v>
      </c>
      <c r="D160" s="13" t="s">
        <v>23</v>
      </c>
      <c r="E160" s="13" t="s">
        <v>161</v>
      </c>
      <c r="F160" s="13" t="s">
        <v>161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531</v>
      </c>
      <c r="B161" s="13" t="s">
        <v>532</v>
      </c>
      <c r="C161" s="14">
        <v>8.9872341275E10</v>
      </c>
      <c r="D161" s="13" t="s">
        <v>23</v>
      </c>
      <c r="E161" s="13" t="s">
        <v>97</v>
      </c>
      <c r="F161" s="13" t="s">
        <v>533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534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535</v>
      </c>
      <c r="B163" s="20" t="s">
        <v>536</v>
      </c>
      <c r="C163" s="14">
        <v>8.9022506257E10</v>
      </c>
      <c r="D163" s="13" t="s">
        <v>23</v>
      </c>
      <c r="E163" s="13" t="s">
        <v>537</v>
      </c>
      <c r="F163" s="13" t="s">
        <v>538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539</v>
      </c>
      <c r="B164" s="13" t="s">
        <v>540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27</v>
      </c>
      <c r="K164" s="13" t="s">
        <v>27</v>
      </c>
      <c r="L164" s="13" t="s">
        <v>27</v>
      </c>
      <c r="M164" s="13" t="s">
        <v>48</v>
      </c>
      <c r="N164" s="13" t="s">
        <v>31</v>
      </c>
      <c r="O164" s="13" t="s">
        <v>32</v>
      </c>
      <c r="P164" s="13" t="s">
        <v>29</v>
      </c>
      <c r="Q164" s="13" t="s">
        <v>30</v>
      </c>
      <c r="R164" s="13" t="s">
        <v>31</v>
      </c>
      <c r="S164" s="13" t="s">
        <v>32</v>
      </c>
      <c r="T164" s="13"/>
      <c r="U164" s="13"/>
    </row>
    <row r="165">
      <c r="A165" s="13" t="s">
        <v>541</v>
      </c>
      <c r="B165" s="13" t="s">
        <v>542</v>
      </c>
      <c r="C165" s="14">
        <v>8.9245122895E10</v>
      </c>
      <c r="D165" s="13" t="s">
        <v>52</v>
      </c>
      <c r="E165" s="13" t="s">
        <v>543</v>
      </c>
      <c r="F165" s="13" t="s">
        <v>544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545</v>
      </c>
      <c r="B166" s="13" t="s">
        <v>546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547</v>
      </c>
      <c r="B167" s="13" t="s">
        <v>548</v>
      </c>
      <c r="C167" s="14">
        <v>8.9237183977E10</v>
      </c>
      <c r="D167" s="13" t="s">
        <v>23</v>
      </c>
      <c r="E167" s="13" t="s">
        <v>273</v>
      </c>
      <c r="F167" s="13" t="s">
        <v>549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550</v>
      </c>
      <c r="B168" s="20" t="s">
        <v>551</v>
      </c>
      <c r="C168" s="14">
        <v>8.9106637291E10</v>
      </c>
      <c r="D168" s="13" t="s">
        <v>52</v>
      </c>
      <c r="E168" s="13" t="s">
        <v>188</v>
      </c>
      <c r="F168" s="13" t="s">
        <v>189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552</v>
      </c>
      <c r="B169" s="20" t="s">
        <v>553</v>
      </c>
      <c r="C169" s="14">
        <v>8.9021258174E10</v>
      </c>
      <c r="D169" s="13" t="s">
        <v>23</v>
      </c>
      <c r="E169" s="13" t="s">
        <v>554</v>
      </c>
      <c r="F169" s="13" t="s">
        <v>372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555</v>
      </c>
      <c r="B170" s="13" t="s">
        <v>556</v>
      </c>
      <c r="C170" s="14">
        <v>8.9204644775E10</v>
      </c>
      <c r="D170" s="13" t="s">
        <v>23</v>
      </c>
      <c r="E170" s="13" t="s">
        <v>121</v>
      </c>
      <c r="F170" s="13" t="s">
        <v>118</v>
      </c>
      <c r="G170" s="13" t="s">
        <v>26</v>
      </c>
      <c r="H170" s="14">
        <v>39.0</v>
      </c>
      <c r="I170" s="14">
        <f t="shared" si="5"/>
        <v>3</v>
      </c>
      <c r="J170" s="13" t="s">
        <v>27</v>
      </c>
      <c r="K170" s="13" t="s">
        <v>27</v>
      </c>
      <c r="L170" s="13" t="s">
        <v>27</v>
      </c>
      <c r="M170" s="13" t="s">
        <v>48</v>
      </c>
      <c r="N170" s="13" t="s">
        <v>31</v>
      </c>
      <c r="O170" s="13" t="s">
        <v>32</v>
      </c>
      <c r="P170" s="13" t="s">
        <v>40</v>
      </c>
      <c r="Q170" s="13" t="s">
        <v>32</v>
      </c>
      <c r="R170" s="13" t="s">
        <v>40</v>
      </c>
      <c r="S170" s="13" t="s">
        <v>32</v>
      </c>
      <c r="T170" s="13"/>
      <c r="U170" s="13"/>
    </row>
    <row r="171">
      <c r="A171" s="13" t="s">
        <v>557</v>
      </c>
      <c r="B171" s="20" t="s">
        <v>558</v>
      </c>
      <c r="C171" s="14">
        <v>8.9148921589E10</v>
      </c>
      <c r="D171" s="13" t="s">
        <v>23</v>
      </c>
      <c r="E171" s="13" t="s">
        <v>559</v>
      </c>
      <c r="F171" s="13" t="s">
        <v>560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561</v>
      </c>
      <c r="B172" s="13" t="s">
        <v>562</v>
      </c>
      <c r="C172" s="14">
        <v>8.9616215222E10</v>
      </c>
      <c r="D172" s="13" t="s">
        <v>23</v>
      </c>
      <c r="E172" s="13" t="s">
        <v>228</v>
      </c>
      <c r="F172" s="13" t="s">
        <v>563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564</v>
      </c>
      <c r="B173" s="13" t="s">
        <v>565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566</v>
      </c>
      <c r="B174" s="13" t="s">
        <v>567</v>
      </c>
      <c r="C174" s="14">
        <v>8.9194938539E10</v>
      </c>
      <c r="D174" s="13" t="s">
        <v>23</v>
      </c>
      <c r="E174" s="13" t="s">
        <v>494</v>
      </c>
      <c r="F174" s="13" t="s">
        <v>335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568</v>
      </c>
      <c r="B175" s="13" t="s">
        <v>569</v>
      </c>
      <c r="C175" s="14">
        <v>8.9202178168E10</v>
      </c>
      <c r="D175" s="13" t="s">
        <v>23</v>
      </c>
      <c r="E175" s="13" t="s">
        <v>121</v>
      </c>
      <c r="F175" s="13" t="s">
        <v>122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570</v>
      </c>
      <c r="B176" s="13" t="s">
        <v>571</v>
      </c>
      <c r="C176" s="14">
        <v>8.9204263795E10</v>
      </c>
      <c r="D176" s="13" t="s">
        <v>23</v>
      </c>
      <c r="E176" s="13" t="s">
        <v>117</v>
      </c>
      <c r="F176" s="13" t="s">
        <v>118</v>
      </c>
      <c r="G176" s="13" t="s">
        <v>26</v>
      </c>
      <c r="H176" s="14">
        <v>46.0</v>
      </c>
      <c r="I176" s="14">
        <f t="shared" si="5"/>
        <v>4</v>
      </c>
      <c r="J176" s="13" t="s">
        <v>27</v>
      </c>
      <c r="K176" s="13" t="s">
        <v>27</v>
      </c>
      <c r="L176" s="13" t="s">
        <v>27</v>
      </c>
      <c r="M176" s="13" t="s">
        <v>27</v>
      </c>
      <c r="N176" s="13" t="s">
        <v>40</v>
      </c>
      <c r="O176" s="13" t="s">
        <v>31</v>
      </c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572</v>
      </c>
      <c r="B177" s="13" t="s">
        <v>573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574</v>
      </c>
      <c r="B178" s="13" t="s">
        <v>575</v>
      </c>
      <c r="C178" s="14">
        <v>8.9170154915E10</v>
      </c>
      <c r="D178" s="13" t="s">
        <v>23</v>
      </c>
      <c r="E178" s="13" t="s">
        <v>322</v>
      </c>
      <c r="F178" s="13" t="s">
        <v>202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576</v>
      </c>
      <c r="B179" s="13" t="s">
        <v>577</v>
      </c>
      <c r="C179" s="14">
        <v>8.964892566E10</v>
      </c>
      <c r="D179" s="13" t="s">
        <v>23</v>
      </c>
      <c r="E179" s="13" t="s">
        <v>520</v>
      </c>
      <c r="F179" s="13" t="s">
        <v>578</v>
      </c>
      <c r="G179" s="13" t="s">
        <v>38</v>
      </c>
      <c r="H179" s="14">
        <v>37.0</v>
      </c>
      <c r="I179" s="14">
        <f t="shared" si="5"/>
        <v>4</v>
      </c>
      <c r="J179" s="13" t="s">
        <v>27</v>
      </c>
      <c r="K179" s="13" t="s">
        <v>27</v>
      </c>
      <c r="L179" s="13" t="s">
        <v>39</v>
      </c>
      <c r="M179" s="13" t="s">
        <v>27</v>
      </c>
      <c r="N179" s="13" t="s">
        <v>31</v>
      </c>
      <c r="O179" s="13" t="s">
        <v>30</v>
      </c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579</v>
      </c>
      <c r="B180" s="13" t="s">
        <v>580</v>
      </c>
      <c r="C180" s="14">
        <v>8.9780181832E10</v>
      </c>
      <c r="D180" s="13" t="s">
        <v>23</v>
      </c>
      <c r="E180" s="13" t="s">
        <v>293</v>
      </c>
      <c r="F180" s="13" t="s">
        <v>581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582</v>
      </c>
      <c r="B181" s="13" t="s">
        <v>583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584</v>
      </c>
      <c r="B182" s="20" t="s">
        <v>585</v>
      </c>
      <c r="C182" s="14">
        <v>8.9213016909E10</v>
      </c>
      <c r="D182" s="13" t="s">
        <v>23</v>
      </c>
      <c r="E182" s="13" t="s">
        <v>144</v>
      </c>
      <c r="F182" s="13" t="s">
        <v>144</v>
      </c>
      <c r="G182" s="13" t="s">
        <v>26</v>
      </c>
      <c r="H182" s="14">
        <v>47.0</v>
      </c>
      <c r="I182" s="14">
        <f t="shared" si="5"/>
        <v>4</v>
      </c>
      <c r="J182" s="13" t="s">
        <v>27</v>
      </c>
      <c r="K182" s="13" t="s">
        <v>27</v>
      </c>
      <c r="L182" s="13" t="s">
        <v>27</v>
      </c>
      <c r="M182" s="13" t="s">
        <v>27</v>
      </c>
      <c r="N182" s="13" t="s">
        <v>31</v>
      </c>
      <c r="O182" s="13" t="s">
        <v>32</v>
      </c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586</v>
      </c>
      <c r="B183" s="20" t="s">
        <v>587</v>
      </c>
      <c r="C183" s="14">
        <v>8.9052475558E10</v>
      </c>
      <c r="D183" s="13" t="s">
        <v>23</v>
      </c>
      <c r="E183" s="13" t="s">
        <v>171</v>
      </c>
      <c r="F183" s="13" t="s">
        <v>172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588</v>
      </c>
      <c r="B184" s="13" t="s">
        <v>589</v>
      </c>
      <c r="C184" s="14">
        <v>8.9375276504E10</v>
      </c>
      <c r="D184" s="13" t="s">
        <v>52</v>
      </c>
      <c r="E184" s="13" t="s">
        <v>84</v>
      </c>
      <c r="F184" s="13" t="s">
        <v>177</v>
      </c>
      <c r="G184" s="13" t="s">
        <v>38</v>
      </c>
      <c r="H184" s="14">
        <v>28.0</v>
      </c>
      <c r="I184" s="14">
        <f t="shared" si="5"/>
        <v>2</v>
      </c>
      <c r="J184" s="26" t="s">
        <v>86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6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110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27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 t="s">
        <v>29</v>
      </c>
      <c r="U187" s="13" t="s">
        <v>30</v>
      </c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110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132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206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121</v>
      </c>
      <c r="F193" s="13" t="s">
        <v>122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128</v>
      </c>
      <c r="F194" s="13" t="s">
        <v>129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110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27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 t="s">
        <v>29</v>
      </c>
      <c r="U195" s="13" t="s">
        <v>31</v>
      </c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121</v>
      </c>
      <c r="F197" s="13" t="s">
        <v>122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27</v>
      </c>
      <c r="K198" s="13" t="s">
        <v>27</v>
      </c>
      <c r="L198" s="26" t="s">
        <v>27</v>
      </c>
      <c r="M198" s="13" t="s">
        <v>27</v>
      </c>
      <c r="N198" s="13" t="s">
        <v>40</v>
      </c>
      <c r="O198" s="13" t="s">
        <v>32</v>
      </c>
      <c r="P198" s="13" t="s">
        <v>40</v>
      </c>
      <c r="Q198" s="13" t="s">
        <v>32</v>
      </c>
      <c r="R198" s="13" t="s">
        <v>31</v>
      </c>
      <c r="S198" s="13" t="s">
        <v>32</v>
      </c>
      <c r="T198" s="13" t="s">
        <v>40</v>
      </c>
      <c r="U198" s="13" t="s">
        <v>30</v>
      </c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184</v>
      </c>
      <c r="F199" s="13" t="s">
        <v>185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380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26" t="s">
        <v>27</v>
      </c>
      <c r="K200" s="26" t="s">
        <v>27</v>
      </c>
      <c r="L200" s="26" t="s">
        <v>27</v>
      </c>
      <c r="M200" s="13" t="s">
        <v>27</v>
      </c>
      <c r="N200" s="13" t="s">
        <v>40</v>
      </c>
      <c r="O200" s="13" t="s">
        <v>32</v>
      </c>
      <c r="P200" s="13" t="s">
        <v>29</v>
      </c>
      <c r="Q200" s="13" t="s">
        <v>31</v>
      </c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21" t="s">
        <v>27</v>
      </c>
      <c r="M202" s="13" t="s">
        <v>48</v>
      </c>
      <c r="N202" s="13"/>
      <c r="O202" s="13"/>
      <c r="P202" s="13" t="s">
        <v>31</v>
      </c>
      <c r="Q202" s="13" t="s">
        <v>32</v>
      </c>
      <c r="R202" s="13" t="s">
        <v>40</v>
      </c>
      <c r="S202" s="13" t="s">
        <v>32</v>
      </c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144</v>
      </c>
      <c r="F203" s="13" t="s">
        <v>144</v>
      </c>
      <c r="G203" s="13" t="s">
        <v>26</v>
      </c>
      <c r="H203" s="14">
        <v>50.0</v>
      </c>
      <c r="I203" s="14">
        <f t="shared" si="5"/>
        <v>3</v>
      </c>
      <c r="J203" s="13" t="s">
        <v>27</v>
      </c>
      <c r="K203" s="13" t="s">
        <v>27</v>
      </c>
      <c r="L203" s="13" t="s">
        <v>48</v>
      </c>
      <c r="M203" s="13" t="s">
        <v>27</v>
      </c>
      <c r="N203" s="13" t="s">
        <v>31</v>
      </c>
      <c r="O203" s="13" t="s">
        <v>32</v>
      </c>
      <c r="P203" s="13" t="s">
        <v>40</v>
      </c>
      <c r="Q203" s="13" t="s">
        <v>32</v>
      </c>
      <c r="R203" s="13"/>
      <c r="S203" s="13"/>
      <c r="T203" s="13" t="s">
        <v>29</v>
      </c>
      <c r="U203" s="13" t="s">
        <v>31</v>
      </c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132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26" t="s">
        <v>27</v>
      </c>
      <c r="M208" s="26" t="s">
        <v>27</v>
      </c>
      <c r="N208" s="13"/>
      <c r="O208" s="13"/>
      <c r="P208" s="13" t="s">
        <v>29</v>
      </c>
      <c r="Q208" s="13" t="s">
        <v>30</v>
      </c>
      <c r="R208" s="13" t="s">
        <v>29</v>
      </c>
      <c r="S208" s="13" t="s">
        <v>31</v>
      </c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2</v>
      </c>
      <c r="J210" s="13" t="s">
        <v>27</v>
      </c>
      <c r="K210" s="13" t="s">
        <v>27</v>
      </c>
      <c r="L210" s="13" t="s">
        <v>48</v>
      </c>
      <c r="M210" s="13" t="s">
        <v>48</v>
      </c>
      <c r="N210" s="13" t="s">
        <v>29</v>
      </c>
      <c r="O210" s="13" t="s">
        <v>31</v>
      </c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297</v>
      </c>
      <c r="F211" s="13" t="s">
        <v>298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27</v>
      </c>
      <c r="M211" s="13" t="s">
        <v>27</v>
      </c>
      <c r="N211" s="13"/>
      <c r="O211" s="13"/>
      <c r="P211" s="13" t="s">
        <v>40</v>
      </c>
      <c r="Q211" s="13" t="s">
        <v>32</v>
      </c>
      <c r="R211" s="13" t="s">
        <v>40</v>
      </c>
      <c r="S211" s="13" t="s">
        <v>31</v>
      </c>
      <c r="T211" s="13" t="s">
        <v>40</v>
      </c>
      <c r="U211" s="13" t="s">
        <v>32</v>
      </c>
    </row>
    <row r="212">
      <c r="A212" s="13" t="s">
        <v>660</v>
      </c>
      <c r="B212" s="20" t="s">
        <v>661</v>
      </c>
      <c r="C212" s="14">
        <v>8.987601203E10</v>
      </c>
      <c r="D212" s="13" t="s">
        <v>23</v>
      </c>
      <c r="E212" s="13" t="s">
        <v>132</v>
      </c>
      <c r="F212" s="13" t="s">
        <v>662</v>
      </c>
      <c r="G212" s="13" t="s">
        <v>26</v>
      </c>
      <c r="H212" s="14">
        <v>19.0</v>
      </c>
      <c r="I212" s="14">
        <f t="shared" ref="I212:I213" si="7">COUNTIF(J212:M212, "Да")</f>
        <v>2</v>
      </c>
      <c r="J212" s="13" t="s">
        <v>39</v>
      </c>
      <c r="K212" s="13" t="s">
        <v>27</v>
      </c>
      <c r="L212" s="13" t="s">
        <v>27</v>
      </c>
      <c r="M212" s="13" t="s">
        <v>48</v>
      </c>
      <c r="N212" s="13"/>
      <c r="O212" s="13"/>
      <c r="P212" s="13" t="s">
        <v>40</v>
      </c>
      <c r="Q212" s="13" t="s">
        <v>32</v>
      </c>
      <c r="R212" s="13" t="s">
        <v>29</v>
      </c>
      <c r="S212" s="13" t="s">
        <v>31</v>
      </c>
      <c r="T212" s="13"/>
      <c r="U212" s="13"/>
    </row>
    <row r="213">
      <c r="A213" s="13" t="s">
        <v>663</v>
      </c>
      <c r="B213" s="20" t="s">
        <v>664</v>
      </c>
      <c r="C213" s="14">
        <v>8.9153120412E10</v>
      </c>
      <c r="D213" s="13" t="s">
        <v>23</v>
      </c>
      <c r="E213" s="13" t="s">
        <v>205</v>
      </c>
      <c r="F213" s="13" t="s">
        <v>77</v>
      </c>
      <c r="G213" s="13" t="s">
        <v>26</v>
      </c>
      <c r="H213" s="14">
        <v>40.0</v>
      </c>
      <c r="I213" s="14">
        <f t="shared" si="7"/>
        <v>3</v>
      </c>
      <c r="J213" s="13" t="s">
        <v>27</v>
      </c>
      <c r="K213" s="13" t="s">
        <v>27</v>
      </c>
      <c r="L213" s="13" t="s">
        <v>27</v>
      </c>
      <c r="M213" s="13" t="s">
        <v>48</v>
      </c>
      <c r="N213" s="13" t="s">
        <v>29</v>
      </c>
      <c r="O213" s="13" t="s">
        <v>31</v>
      </c>
      <c r="P213" s="13" t="s">
        <v>29</v>
      </c>
      <c r="Q213" s="21" t="s">
        <v>30</v>
      </c>
      <c r="R213" s="13" t="s">
        <v>29</v>
      </c>
      <c r="S213" s="13" t="s">
        <v>31</v>
      </c>
      <c r="T213" s="13"/>
      <c r="U213" s="13"/>
    </row>
    <row r="214">
      <c r="A214" s="13" t="s">
        <v>665</v>
      </c>
      <c r="B214" s="13" t="s">
        <v>666</v>
      </c>
      <c r="C214" s="14">
        <v>8.9297750545E10</v>
      </c>
      <c r="D214" s="13" t="s">
        <v>52</v>
      </c>
      <c r="E214" s="13" t="s">
        <v>199</v>
      </c>
      <c r="F214" s="13" t="s">
        <v>667</v>
      </c>
      <c r="G214" s="13" t="s">
        <v>38</v>
      </c>
      <c r="H214" s="14">
        <v>20.0</v>
      </c>
      <c r="I214" s="13"/>
      <c r="J214" s="13" t="s">
        <v>39</v>
      </c>
      <c r="K214" s="13" t="s">
        <v>48</v>
      </c>
      <c r="L214" s="13" t="s">
        <v>39</v>
      </c>
      <c r="M214" s="26" t="s">
        <v>27</v>
      </c>
      <c r="N214" s="13"/>
      <c r="O214" s="13"/>
      <c r="P214" s="13" t="s">
        <v>33</v>
      </c>
      <c r="Q214" s="13" t="s">
        <v>33</v>
      </c>
      <c r="R214" s="13"/>
      <c r="S214" s="13"/>
      <c r="T214" s="13" t="s">
        <v>29</v>
      </c>
      <c r="U214" s="13" t="s">
        <v>31</v>
      </c>
    </row>
    <row r="215">
      <c r="A215" s="13" t="s">
        <v>668</v>
      </c>
      <c r="B215" s="13" t="s">
        <v>669</v>
      </c>
      <c r="C215" s="14">
        <v>8.9253550559E10</v>
      </c>
      <c r="D215" s="13" t="s">
        <v>23</v>
      </c>
      <c r="E215" s="13" t="s">
        <v>128</v>
      </c>
      <c r="F215" s="13" t="s">
        <v>129</v>
      </c>
      <c r="G215" s="13" t="s">
        <v>38</v>
      </c>
      <c r="H215" s="14">
        <v>41.0</v>
      </c>
      <c r="I215" s="13"/>
      <c r="J215" s="13" t="s">
        <v>39</v>
      </c>
      <c r="K215" s="13" t="s">
        <v>48</v>
      </c>
      <c r="L215" s="13" t="s">
        <v>39</v>
      </c>
      <c r="M215" s="26" t="s">
        <v>27</v>
      </c>
      <c r="N215" s="13"/>
      <c r="O215" s="13"/>
      <c r="P215" s="13" t="s">
        <v>33</v>
      </c>
      <c r="Q215" s="13" t="s">
        <v>33</v>
      </c>
      <c r="R215" s="13"/>
      <c r="S215" s="13"/>
      <c r="T215" s="13" t="s">
        <v>29</v>
      </c>
      <c r="U215" s="13" t="s">
        <v>31</v>
      </c>
    </row>
    <row r="216">
      <c r="A216" s="13" t="s">
        <v>670</v>
      </c>
      <c r="B216" s="13" t="s">
        <v>671</v>
      </c>
      <c r="C216" s="14">
        <v>8.9002447867E10</v>
      </c>
      <c r="D216" s="13" t="s">
        <v>23</v>
      </c>
      <c r="E216" s="13" t="s">
        <v>672</v>
      </c>
      <c r="F216" s="13" t="s">
        <v>673</v>
      </c>
      <c r="G216" s="13" t="s">
        <v>38</v>
      </c>
      <c r="H216" s="14">
        <v>22.0</v>
      </c>
      <c r="I216" s="13"/>
      <c r="J216" s="13" t="s">
        <v>39</v>
      </c>
      <c r="K216" s="13" t="s">
        <v>48</v>
      </c>
      <c r="L216" s="13" t="s">
        <v>39</v>
      </c>
      <c r="M216" s="26" t="s">
        <v>27</v>
      </c>
      <c r="N216" s="13"/>
      <c r="O216" s="13"/>
      <c r="P216" s="13" t="s">
        <v>33</v>
      </c>
      <c r="Q216" s="13" t="s">
        <v>33</v>
      </c>
      <c r="R216" s="13"/>
      <c r="S216" s="13"/>
      <c r="T216" s="13" t="s">
        <v>31</v>
      </c>
      <c r="U216" s="13" t="s">
        <v>32</v>
      </c>
    </row>
    <row r="217">
      <c r="A217" s="13" t="s">
        <v>674</v>
      </c>
      <c r="B217" s="20" t="s">
        <v>675</v>
      </c>
      <c r="C217" s="14">
        <v>8.9869876416E10</v>
      </c>
      <c r="D217" s="13" t="s">
        <v>52</v>
      </c>
      <c r="E217" s="13" t="s">
        <v>77</v>
      </c>
      <c r="F217" s="13" t="s">
        <v>77</v>
      </c>
      <c r="G217" s="13" t="s">
        <v>26</v>
      </c>
      <c r="H217" s="14">
        <v>31.0</v>
      </c>
      <c r="I217" s="14">
        <f>COUNTIF(J217:M217, "Да")</f>
        <v>2</v>
      </c>
      <c r="J217" s="13" t="s">
        <v>28</v>
      </c>
      <c r="K217" s="26" t="s">
        <v>27</v>
      </c>
      <c r="L217" s="13" t="s">
        <v>39</v>
      </c>
      <c r="M217" s="26" t="s">
        <v>27</v>
      </c>
      <c r="N217" s="13" t="s">
        <v>33</v>
      </c>
      <c r="O217" s="13" t="s">
        <v>33</v>
      </c>
      <c r="P217" s="13" t="s">
        <v>40</v>
      </c>
      <c r="Q217" s="13" t="s">
        <v>30</v>
      </c>
      <c r="R217" s="13"/>
      <c r="S217" s="13"/>
      <c r="T217" s="13" t="s">
        <v>31</v>
      </c>
      <c r="U217" s="13" t="s">
        <v>32</v>
      </c>
    </row>
    <row r="218">
      <c r="A218" s="13" t="s">
        <v>676</v>
      </c>
      <c r="B218" s="20" t="s">
        <v>677</v>
      </c>
      <c r="C218" s="14">
        <v>8.9969769301E10</v>
      </c>
      <c r="D218" s="13" t="s">
        <v>52</v>
      </c>
      <c r="E218" s="13" t="s">
        <v>144</v>
      </c>
      <c r="F218" s="13" t="s">
        <v>161</v>
      </c>
      <c r="G218" s="13" t="s">
        <v>38</v>
      </c>
      <c r="H218" s="14">
        <v>32.0</v>
      </c>
      <c r="I218" s="13"/>
      <c r="J218" s="13" t="s">
        <v>39</v>
      </c>
      <c r="K218" s="13" t="s">
        <v>48</v>
      </c>
      <c r="L218" s="26" t="s">
        <v>27</v>
      </c>
      <c r="M218" s="26" t="s">
        <v>27</v>
      </c>
      <c r="N218" s="13"/>
      <c r="O218" s="13"/>
      <c r="P218" s="13" t="s">
        <v>33</v>
      </c>
      <c r="Q218" s="13" t="s">
        <v>33</v>
      </c>
      <c r="R218" s="13" t="s">
        <v>29</v>
      </c>
      <c r="S218" s="13" t="s">
        <v>31</v>
      </c>
      <c r="T218" s="13" t="s">
        <v>40</v>
      </c>
      <c r="U218" s="13" t="s">
        <v>30</v>
      </c>
    </row>
    <row r="219">
      <c r="A219" s="13" t="s">
        <v>678</v>
      </c>
      <c r="B219" s="20" t="s">
        <v>679</v>
      </c>
      <c r="C219" s="14">
        <v>8.9152556278E10</v>
      </c>
      <c r="D219" s="13" t="s">
        <v>23</v>
      </c>
      <c r="E219" s="13" t="s">
        <v>77</v>
      </c>
      <c r="F219" s="13" t="s">
        <v>77</v>
      </c>
      <c r="G219" s="13" t="s">
        <v>38</v>
      </c>
      <c r="H219" s="14">
        <v>39.0</v>
      </c>
      <c r="I219" s="14">
        <f t="shared" ref="I219:I221" si="8">COUNTIF(J219:M219, "Да")</f>
        <v>3</v>
      </c>
      <c r="J219" s="13" t="s">
        <v>27</v>
      </c>
      <c r="K219" s="13" t="s">
        <v>27</v>
      </c>
      <c r="L219" s="13" t="s">
        <v>39</v>
      </c>
      <c r="M219" s="26" t="s">
        <v>27</v>
      </c>
      <c r="N219" s="13" t="s">
        <v>31</v>
      </c>
      <c r="O219" s="13" t="s">
        <v>32</v>
      </c>
      <c r="P219" s="13" t="s">
        <v>40</v>
      </c>
      <c r="Q219" s="13" t="s">
        <v>30</v>
      </c>
      <c r="R219" s="13"/>
      <c r="S219" s="13"/>
      <c r="T219" s="13" t="s">
        <v>29</v>
      </c>
      <c r="U219" s="13" t="s">
        <v>31</v>
      </c>
    </row>
    <row r="220">
      <c r="A220" s="13" t="s">
        <v>680</v>
      </c>
      <c r="B220" s="20" t="s">
        <v>681</v>
      </c>
      <c r="C220" s="14">
        <v>8.9271013828E10</v>
      </c>
      <c r="D220" s="13" t="s">
        <v>23</v>
      </c>
      <c r="E220" s="13" t="s">
        <v>147</v>
      </c>
      <c r="F220" s="13" t="s">
        <v>682</v>
      </c>
      <c r="G220" s="13" t="s">
        <v>38</v>
      </c>
      <c r="H220" s="14">
        <v>32.0</v>
      </c>
      <c r="I220" s="14">
        <f t="shared" si="8"/>
        <v>3</v>
      </c>
      <c r="J220" s="13" t="s">
        <v>27</v>
      </c>
      <c r="K220" s="13" t="s">
        <v>28</v>
      </c>
      <c r="L220" s="13" t="s">
        <v>27</v>
      </c>
      <c r="M220" s="13" t="s">
        <v>27</v>
      </c>
      <c r="N220" s="13" t="s">
        <v>29</v>
      </c>
      <c r="O220" s="13" t="s">
        <v>31</v>
      </c>
      <c r="P220" s="25" t="s">
        <v>33</v>
      </c>
      <c r="Q220" s="25" t="s">
        <v>33</v>
      </c>
      <c r="R220" s="13" t="s">
        <v>29</v>
      </c>
      <c r="S220" s="13" t="s">
        <v>30</v>
      </c>
      <c r="T220" s="13" t="s">
        <v>29</v>
      </c>
      <c r="U220" s="13" t="s">
        <v>30</v>
      </c>
    </row>
    <row r="221">
      <c r="A221" s="13" t="s">
        <v>683</v>
      </c>
      <c r="B221" s="13" t="s">
        <v>684</v>
      </c>
      <c r="C221" s="14">
        <v>8.9376548981E10</v>
      </c>
      <c r="D221" s="13" t="s">
        <v>23</v>
      </c>
      <c r="E221" s="13" t="s">
        <v>322</v>
      </c>
      <c r="F221" s="13" t="s">
        <v>202</v>
      </c>
      <c r="G221" s="13" t="s">
        <v>26</v>
      </c>
      <c r="H221" s="14">
        <v>55.0</v>
      </c>
      <c r="I221" s="14">
        <f t="shared" si="8"/>
        <v>2</v>
      </c>
      <c r="J221" s="13" t="s">
        <v>39</v>
      </c>
      <c r="K221" s="13" t="s">
        <v>39</v>
      </c>
      <c r="L221" s="13" t="s">
        <v>27</v>
      </c>
      <c r="M221" s="13" t="s">
        <v>27</v>
      </c>
      <c r="N221" s="13"/>
      <c r="O221" s="13"/>
      <c r="P221" s="13"/>
      <c r="Q221" s="13"/>
      <c r="R221" s="13" t="s">
        <v>29</v>
      </c>
      <c r="S221" s="13" t="s">
        <v>31</v>
      </c>
      <c r="T221" s="13" t="s">
        <v>29</v>
      </c>
      <c r="U221" s="13" t="s">
        <v>31</v>
      </c>
    </row>
    <row r="222">
      <c r="A222" s="13" t="s">
        <v>685</v>
      </c>
      <c r="B222" s="20" t="s">
        <v>686</v>
      </c>
      <c r="C222" s="14">
        <v>8.9209721302E10</v>
      </c>
      <c r="D222" s="13" t="s">
        <v>23</v>
      </c>
      <c r="E222" s="13" t="s">
        <v>687</v>
      </c>
      <c r="F222" s="13" t="s">
        <v>688</v>
      </c>
      <c r="G222" s="13" t="s">
        <v>26</v>
      </c>
      <c r="H222" s="14">
        <v>36.0</v>
      </c>
      <c r="I222" s="13"/>
      <c r="J222" s="13" t="s">
        <v>39</v>
      </c>
      <c r="K222" s="13" t="s">
        <v>48</v>
      </c>
      <c r="L222" s="13" t="s">
        <v>27</v>
      </c>
      <c r="M222" s="13" t="s">
        <v>48</v>
      </c>
      <c r="N222" s="13"/>
      <c r="O222" s="13"/>
      <c r="P222" s="25" t="s">
        <v>33</v>
      </c>
      <c r="Q222" s="25" t="s">
        <v>33</v>
      </c>
      <c r="R222" s="13" t="s">
        <v>29</v>
      </c>
      <c r="S222" s="13" t="s">
        <v>31</v>
      </c>
      <c r="T222" s="25" t="s">
        <v>33</v>
      </c>
      <c r="U222" s="25" t="s">
        <v>33</v>
      </c>
    </row>
    <row r="223">
      <c r="A223" s="13" t="s">
        <v>689</v>
      </c>
      <c r="B223" s="20" t="s">
        <v>690</v>
      </c>
      <c r="C223" s="14">
        <v>8.9966077622E10</v>
      </c>
      <c r="D223" s="13" t="s">
        <v>23</v>
      </c>
      <c r="E223" s="13" t="s">
        <v>84</v>
      </c>
      <c r="F223" s="13" t="s">
        <v>177</v>
      </c>
      <c r="G223" s="13" t="s">
        <v>26</v>
      </c>
      <c r="H223" s="14">
        <v>38.0</v>
      </c>
      <c r="I223" s="14">
        <f t="shared" ref="I223:I224" si="9">COUNTIF(J223:M223, "Да")+COUNTIF(J223:M223, "Запас")</f>
        <v>4</v>
      </c>
      <c r="J223" s="13" t="s">
        <v>39</v>
      </c>
      <c r="K223" s="13" t="s">
        <v>39</v>
      </c>
      <c r="L223" s="13" t="s">
        <v>27</v>
      </c>
      <c r="M223" s="13" t="s">
        <v>27</v>
      </c>
      <c r="N223" s="25" t="s">
        <v>33</v>
      </c>
      <c r="O223" s="25" t="s">
        <v>33</v>
      </c>
      <c r="P223" s="13"/>
      <c r="Q223" s="13"/>
      <c r="R223" s="13" t="s">
        <v>29</v>
      </c>
      <c r="S223" s="13" t="s">
        <v>31</v>
      </c>
      <c r="T223" s="13" t="s">
        <v>40</v>
      </c>
      <c r="U223" s="13" t="s">
        <v>32</v>
      </c>
    </row>
    <row r="224">
      <c r="A224" s="13" t="s">
        <v>691</v>
      </c>
      <c r="B224" s="13" t="s">
        <v>692</v>
      </c>
      <c r="C224" s="14">
        <v>8.9177702506E10</v>
      </c>
      <c r="D224" s="13" t="s">
        <v>23</v>
      </c>
      <c r="E224" s="13" t="s">
        <v>132</v>
      </c>
      <c r="F224" s="13" t="s">
        <v>54</v>
      </c>
      <c r="G224" s="13" t="s">
        <v>38</v>
      </c>
      <c r="H224" s="14">
        <v>33.0</v>
      </c>
      <c r="I224" s="14">
        <f t="shared" si="9"/>
        <v>3</v>
      </c>
      <c r="J224" s="13" t="s">
        <v>39</v>
      </c>
      <c r="K224" s="13" t="s">
        <v>28</v>
      </c>
      <c r="L224" s="13" t="s">
        <v>39</v>
      </c>
      <c r="M224" s="13" t="s">
        <v>27</v>
      </c>
      <c r="N224" s="25" t="s">
        <v>33</v>
      </c>
      <c r="O224" s="25" t="s">
        <v>33</v>
      </c>
      <c r="P224" s="25" t="s">
        <v>33</v>
      </c>
      <c r="Q224" s="25" t="s">
        <v>33</v>
      </c>
      <c r="R224" s="13"/>
      <c r="S224" s="13"/>
      <c r="T224" s="13" t="s">
        <v>29</v>
      </c>
      <c r="U224" s="13" t="s">
        <v>31</v>
      </c>
    </row>
    <row r="225">
      <c r="A225" s="13" t="s">
        <v>693</v>
      </c>
      <c r="B225" s="13" t="s">
        <v>694</v>
      </c>
      <c r="C225" s="14">
        <v>8.9267031708E10</v>
      </c>
      <c r="D225" s="13" t="s">
        <v>23</v>
      </c>
      <c r="E225" s="13" t="s">
        <v>76</v>
      </c>
      <c r="F225" s="13" t="s">
        <v>76</v>
      </c>
      <c r="G225" s="13" t="s">
        <v>38</v>
      </c>
      <c r="H225" s="14">
        <v>33.0</v>
      </c>
      <c r="I225" s="13"/>
      <c r="J225" s="13" t="s">
        <v>27</v>
      </c>
      <c r="K225" s="13" t="s">
        <v>27</v>
      </c>
      <c r="L225" s="13" t="s">
        <v>39</v>
      </c>
      <c r="M225" s="13" t="s">
        <v>27</v>
      </c>
      <c r="N225" s="13" t="s">
        <v>31</v>
      </c>
      <c r="O225" s="13" t="s">
        <v>32</v>
      </c>
      <c r="P225" s="13" t="s">
        <v>40</v>
      </c>
      <c r="Q225" s="13" t="s">
        <v>31</v>
      </c>
      <c r="R225" s="13"/>
      <c r="S225" s="13"/>
      <c r="T225" s="13" t="s">
        <v>29</v>
      </c>
      <c r="U225" s="13" t="s">
        <v>31</v>
      </c>
    </row>
    <row r="226">
      <c r="A226" s="13" t="s">
        <v>695</v>
      </c>
      <c r="B226" s="13" t="s">
        <v>696</v>
      </c>
      <c r="C226" s="14">
        <v>8.9046309313E10</v>
      </c>
      <c r="D226" s="13" t="s">
        <v>23</v>
      </c>
      <c r="E226" s="13" t="s">
        <v>205</v>
      </c>
      <c r="F226" s="13" t="s">
        <v>144</v>
      </c>
      <c r="G226" s="13" t="s">
        <v>26</v>
      </c>
      <c r="H226" s="14">
        <v>37.0</v>
      </c>
      <c r="I226" s="14">
        <f>COUNTIF(J226:M226, "Да")+COUNTIF(J226:M226, "Запас")</f>
        <v>4</v>
      </c>
      <c r="J226" s="13" t="s">
        <v>39</v>
      </c>
      <c r="K226" s="13" t="s">
        <v>27</v>
      </c>
      <c r="L226" s="26" t="s">
        <v>27</v>
      </c>
      <c r="M226" s="13" t="s">
        <v>27</v>
      </c>
      <c r="N226" s="25" t="s">
        <v>33</v>
      </c>
      <c r="O226" s="25" t="s">
        <v>33</v>
      </c>
      <c r="P226" s="13" t="s">
        <v>40</v>
      </c>
      <c r="Q226" s="13" t="s">
        <v>30</v>
      </c>
      <c r="R226" s="13" t="s">
        <v>31</v>
      </c>
      <c r="S226" s="13" t="s">
        <v>32</v>
      </c>
      <c r="T226" s="13" t="s">
        <v>29</v>
      </c>
      <c r="U226" s="13" t="s">
        <v>31</v>
      </c>
    </row>
    <row r="227">
      <c r="A227" s="13" t="s">
        <v>697</v>
      </c>
      <c r="B227" s="20" t="s">
        <v>698</v>
      </c>
      <c r="C227" s="14">
        <v>8.9228008587E10</v>
      </c>
      <c r="D227" s="13" t="s">
        <v>52</v>
      </c>
      <c r="E227" s="13" t="s">
        <v>36</v>
      </c>
      <c r="F227" s="13" t="s">
        <v>77</v>
      </c>
      <c r="G227" s="13" t="s">
        <v>38</v>
      </c>
      <c r="H227" s="14">
        <v>31.0</v>
      </c>
      <c r="I227" s="14">
        <f t="shared" ref="I227:I243" si="10">COUNTIF(J227:M227, "Да")</f>
        <v>1</v>
      </c>
      <c r="J227" s="13" t="s">
        <v>39</v>
      </c>
      <c r="K227" s="13" t="s">
        <v>28</v>
      </c>
      <c r="L227" s="13" t="s">
        <v>39</v>
      </c>
      <c r="M227" s="13" t="s">
        <v>27</v>
      </c>
      <c r="N227" s="13"/>
      <c r="O227" s="13"/>
      <c r="P227" s="25" t="s">
        <v>33</v>
      </c>
      <c r="Q227" s="25" t="s">
        <v>33</v>
      </c>
      <c r="R227" s="13"/>
      <c r="S227" s="13"/>
      <c r="T227" s="13" t="s">
        <v>29</v>
      </c>
      <c r="U227" s="13" t="s">
        <v>31</v>
      </c>
    </row>
    <row r="228">
      <c r="A228" s="13" t="s">
        <v>699</v>
      </c>
      <c r="B228" s="13" t="s">
        <v>700</v>
      </c>
      <c r="C228" s="14">
        <v>8.9659095929E10</v>
      </c>
      <c r="D228" s="13" t="s">
        <v>23</v>
      </c>
      <c r="E228" s="13" t="s">
        <v>433</v>
      </c>
      <c r="F228" s="13" t="s">
        <v>140</v>
      </c>
      <c r="G228" s="13" t="s">
        <v>38</v>
      </c>
      <c r="H228" s="14">
        <v>27.0</v>
      </c>
      <c r="I228" s="14">
        <f t="shared" si="10"/>
        <v>4</v>
      </c>
      <c r="J228" s="13" t="s">
        <v>27</v>
      </c>
      <c r="K228" s="13" t="s">
        <v>27</v>
      </c>
      <c r="L228" s="13" t="s">
        <v>27</v>
      </c>
      <c r="M228" s="13" t="s">
        <v>27</v>
      </c>
      <c r="N228" s="13" t="s">
        <v>29</v>
      </c>
      <c r="O228" s="13" t="s">
        <v>31</v>
      </c>
      <c r="P228" s="13" t="s">
        <v>40</v>
      </c>
      <c r="Q228" s="13" t="s">
        <v>31</v>
      </c>
      <c r="R228" s="13" t="s">
        <v>29</v>
      </c>
      <c r="S228" s="13" t="s">
        <v>31</v>
      </c>
      <c r="T228" s="13" t="s">
        <v>29</v>
      </c>
      <c r="U228" s="13" t="s">
        <v>31</v>
      </c>
    </row>
    <row r="229">
      <c r="A229" s="13" t="s">
        <v>701</v>
      </c>
      <c r="B229" s="13" t="s">
        <v>702</v>
      </c>
      <c r="C229" s="14">
        <v>8.9170592416E10</v>
      </c>
      <c r="D229" s="13" t="s">
        <v>23</v>
      </c>
      <c r="E229" s="13" t="s">
        <v>554</v>
      </c>
      <c r="F229" s="13" t="s">
        <v>372</v>
      </c>
      <c r="G229" s="13" t="s">
        <v>26</v>
      </c>
      <c r="H229" s="14">
        <v>39.0</v>
      </c>
      <c r="I229" s="14">
        <f t="shared" si="10"/>
        <v>3</v>
      </c>
      <c r="J229" s="13" t="s">
        <v>27</v>
      </c>
      <c r="K229" s="13" t="s">
        <v>27</v>
      </c>
      <c r="L229" s="13" t="s">
        <v>48</v>
      </c>
      <c r="M229" s="13" t="s">
        <v>27</v>
      </c>
      <c r="N229" s="13" t="s">
        <v>29</v>
      </c>
      <c r="O229" s="13" t="s">
        <v>31</v>
      </c>
      <c r="P229" s="13" t="s">
        <v>31</v>
      </c>
      <c r="Q229" s="13" t="s">
        <v>32</v>
      </c>
      <c r="R229" s="13"/>
      <c r="S229" s="13"/>
      <c r="T229" s="13" t="s">
        <v>40</v>
      </c>
      <c r="U229" s="13" t="s">
        <v>32</v>
      </c>
    </row>
    <row r="230">
      <c r="A230" s="13" t="s">
        <v>703</v>
      </c>
      <c r="B230" s="20" t="s">
        <v>704</v>
      </c>
      <c r="C230" s="14">
        <v>8.9828075796E10</v>
      </c>
      <c r="D230" s="13" t="s">
        <v>23</v>
      </c>
      <c r="E230" s="13" t="s">
        <v>705</v>
      </c>
      <c r="F230" s="13" t="s">
        <v>706</v>
      </c>
      <c r="G230" s="13" t="s">
        <v>38</v>
      </c>
      <c r="H230" s="14">
        <v>42.0</v>
      </c>
      <c r="I230" s="14">
        <f t="shared" si="10"/>
        <v>1</v>
      </c>
      <c r="J230" s="13" t="s">
        <v>48</v>
      </c>
      <c r="K230" s="13" t="s">
        <v>27</v>
      </c>
      <c r="L230" s="13" t="s">
        <v>39</v>
      </c>
      <c r="M230" s="13" t="s">
        <v>48</v>
      </c>
      <c r="N230" s="13"/>
      <c r="O230" s="13"/>
      <c r="P230" s="13" t="s">
        <v>29</v>
      </c>
      <c r="Q230" s="13" t="s">
        <v>31</v>
      </c>
      <c r="R230" s="13"/>
      <c r="S230" s="13"/>
      <c r="T230" s="13"/>
      <c r="U230" s="13"/>
    </row>
    <row r="231">
      <c r="A231" s="30" t="s">
        <v>707</v>
      </c>
      <c r="B231" s="13" t="s">
        <v>83</v>
      </c>
      <c r="C231" s="14">
        <v>8.9046739603E10</v>
      </c>
      <c r="D231" s="13" t="s">
        <v>52</v>
      </c>
      <c r="E231" s="13" t="s">
        <v>708</v>
      </c>
      <c r="F231" s="13" t="s">
        <v>85</v>
      </c>
      <c r="G231" s="13" t="s">
        <v>38</v>
      </c>
      <c r="H231" s="14">
        <v>34.0</v>
      </c>
      <c r="I231" s="14">
        <f t="shared" si="10"/>
        <v>3</v>
      </c>
      <c r="J231" s="13" t="s">
        <v>27</v>
      </c>
      <c r="K231" s="13" t="s">
        <v>27</v>
      </c>
      <c r="L231" s="13" t="s">
        <v>39</v>
      </c>
      <c r="M231" s="13" t="s">
        <v>27</v>
      </c>
      <c r="N231" s="13" t="s">
        <v>40</v>
      </c>
      <c r="O231" s="13" t="s">
        <v>30</v>
      </c>
      <c r="P231" s="13" t="s">
        <v>29</v>
      </c>
      <c r="Q231" s="13" t="s">
        <v>31</v>
      </c>
      <c r="R231" s="13"/>
      <c r="S231" s="13"/>
      <c r="T231" s="13" t="s">
        <v>29</v>
      </c>
      <c r="U231" s="13" t="s">
        <v>31</v>
      </c>
    </row>
    <row r="232">
      <c r="A232" s="13" t="s">
        <v>709</v>
      </c>
      <c r="B232" s="13" t="s">
        <v>710</v>
      </c>
      <c r="C232" s="14">
        <v>8.9108800735E10</v>
      </c>
      <c r="D232" s="13" t="s">
        <v>52</v>
      </c>
      <c r="E232" s="13" t="s">
        <v>101</v>
      </c>
      <c r="F232" s="13" t="s">
        <v>101</v>
      </c>
      <c r="G232" s="13" t="s">
        <v>26</v>
      </c>
      <c r="H232" s="14">
        <v>29.0</v>
      </c>
      <c r="I232" s="14">
        <f t="shared" si="10"/>
        <v>2</v>
      </c>
      <c r="J232" s="13" t="s">
        <v>27</v>
      </c>
      <c r="K232" s="13" t="s">
        <v>27</v>
      </c>
      <c r="L232" s="13" t="s">
        <v>39</v>
      </c>
      <c r="M232" s="13" t="s">
        <v>39</v>
      </c>
      <c r="N232" s="13" t="s">
        <v>31</v>
      </c>
      <c r="O232" s="13" t="s">
        <v>32</v>
      </c>
      <c r="P232" s="13" t="s">
        <v>31</v>
      </c>
      <c r="Q232" s="13" t="s">
        <v>30</v>
      </c>
      <c r="R232" s="13"/>
      <c r="S232" s="13"/>
      <c r="T232" s="13"/>
      <c r="U232" s="13"/>
    </row>
    <row r="233">
      <c r="A233" s="13" t="s">
        <v>711</v>
      </c>
      <c r="B233" s="13" t="s">
        <v>712</v>
      </c>
      <c r="C233" s="14">
        <v>8.9991203955E10</v>
      </c>
      <c r="D233" s="13" t="s">
        <v>23</v>
      </c>
      <c r="E233" s="13" t="s">
        <v>713</v>
      </c>
      <c r="F233" s="13" t="s">
        <v>101</v>
      </c>
      <c r="G233" s="13" t="s">
        <v>26</v>
      </c>
      <c r="H233" s="14">
        <v>27.0</v>
      </c>
      <c r="I233" s="14">
        <f t="shared" si="10"/>
        <v>3</v>
      </c>
      <c r="J233" s="13" t="s">
        <v>27</v>
      </c>
      <c r="K233" s="13" t="s">
        <v>27</v>
      </c>
      <c r="L233" s="13" t="s">
        <v>27</v>
      </c>
      <c r="M233" s="13" t="s">
        <v>39</v>
      </c>
      <c r="N233" s="13" t="s">
        <v>31</v>
      </c>
      <c r="O233" s="13" t="s">
        <v>32</v>
      </c>
      <c r="P233" s="13" t="s">
        <v>29</v>
      </c>
      <c r="Q233" s="13" t="s">
        <v>30</v>
      </c>
      <c r="R233" s="13" t="s">
        <v>31</v>
      </c>
      <c r="S233" s="13" t="s">
        <v>32</v>
      </c>
      <c r="T233" s="13"/>
      <c r="U233" s="13"/>
    </row>
    <row r="234">
      <c r="A234" s="13" t="s">
        <v>714</v>
      </c>
      <c r="B234" s="13" t="s">
        <v>715</v>
      </c>
      <c r="C234" s="14">
        <v>8.9022109491E10</v>
      </c>
      <c r="D234" s="13" t="s">
        <v>23</v>
      </c>
      <c r="E234" s="13" t="s">
        <v>716</v>
      </c>
      <c r="F234" s="13" t="s">
        <v>717</v>
      </c>
      <c r="G234" s="13" t="s">
        <v>26</v>
      </c>
      <c r="H234" s="14">
        <v>34.0</v>
      </c>
      <c r="I234" s="14">
        <f t="shared" si="10"/>
        <v>3</v>
      </c>
      <c r="J234" s="13" t="s">
        <v>27</v>
      </c>
      <c r="K234" s="13" t="s">
        <v>27</v>
      </c>
      <c r="L234" s="13" t="s">
        <v>48</v>
      </c>
      <c r="M234" s="26" t="s">
        <v>27</v>
      </c>
      <c r="N234" s="13" t="s">
        <v>31</v>
      </c>
      <c r="O234" s="13" t="s">
        <v>32</v>
      </c>
      <c r="P234" s="13" t="s">
        <v>31</v>
      </c>
      <c r="Q234" s="13" t="s">
        <v>32</v>
      </c>
      <c r="R234" s="13"/>
      <c r="S234" s="13"/>
      <c r="T234" s="13" t="s">
        <v>31</v>
      </c>
      <c r="U234" s="13" t="s">
        <v>32</v>
      </c>
    </row>
    <row r="235">
      <c r="A235" s="13" t="s">
        <v>718</v>
      </c>
      <c r="B235" s="13" t="s">
        <v>719</v>
      </c>
      <c r="C235" s="14">
        <v>8.9501390435E10</v>
      </c>
      <c r="D235" s="13" t="s">
        <v>23</v>
      </c>
      <c r="E235" s="13" t="s">
        <v>559</v>
      </c>
      <c r="F235" s="13" t="s">
        <v>720</v>
      </c>
      <c r="G235" s="13" t="s">
        <v>26</v>
      </c>
      <c r="H235" s="14">
        <v>29.0</v>
      </c>
      <c r="I235" s="14">
        <f t="shared" si="10"/>
        <v>1</v>
      </c>
      <c r="J235" s="13" t="s">
        <v>39</v>
      </c>
      <c r="K235" s="13" t="s">
        <v>27</v>
      </c>
      <c r="L235" s="13" t="s">
        <v>48</v>
      </c>
      <c r="M235" s="13" t="s">
        <v>39</v>
      </c>
      <c r="N235" s="13"/>
      <c r="O235" s="13"/>
      <c r="P235" s="13" t="s">
        <v>31</v>
      </c>
      <c r="Q235" s="13" t="s">
        <v>32</v>
      </c>
      <c r="R235" s="13"/>
      <c r="S235" s="13"/>
      <c r="T235" s="13"/>
      <c r="U235" s="13"/>
    </row>
    <row r="236">
      <c r="A236" s="13" t="s">
        <v>721</v>
      </c>
      <c r="B236" s="20" t="s">
        <v>722</v>
      </c>
      <c r="C236" s="14">
        <v>8.9263103151E10</v>
      </c>
      <c r="D236" s="13" t="s">
        <v>23</v>
      </c>
      <c r="E236" s="13" t="s">
        <v>77</v>
      </c>
      <c r="F236" s="13" t="s">
        <v>77</v>
      </c>
      <c r="G236" s="13" t="s">
        <v>38</v>
      </c>
      <c r="H236" s="14">
        <v>38.0</v>
      </c>
      <c r="I236" s="14">
        <f t="shared" si="10"/>
        <v>1</v>
      </c>
      <c r="J236" s="13" t="s">
        <v>39</v>
      </c>
      <c r="K236" s="13" t="s">
        <v>27</v>
      </c>
      <c r="L236" s="13" t="s">
        <v>39</v>
      </c>
      <c r="M236" s="13" t="s">
        <v>39</v>
      </c>
      <c r="N236" s="13"/>
      <c r="O236" s="13"/>
      <c r="P236" s="26" t="s">
        <v>40</v>
      </c>
      <c r="Q236" s="13" t="s">
        <v>32</v>
      </c>
      <c r="R236" s="13"/>
      <c r="S236" s="13"/>
      <c r="T236" s="13"/>
      <c r="U236" s="13"/>
    </row>
    <row r="237">
      <c r="A237" s="13" t="s">
        <v>723</v>
      </c>
      <c r="B237" s="13" t="s">
        <v>724</v>
      </c>
      <c r="C237" s="14">
        <v>8.9827023992E10</v>
      </c>
      <c r="D237" s="13" t="s">
        <v>23</v>
      </c>
      <c r="E237" s="13" t="s">
        <v>128</v>
      </c>
      <c r="F237" s="13" t="s">
        <v>725</v>
      </c>
      <c r="G237" s="13" t="s">
        <v>26</v>
      </c>
      <c r="H237" s="14">
        <v>36.0</v>
      </c>
      <c r="I237" s="14">
        <f t="shared" si="10"/>
        <v>4</v>
      </c>
      <c r="J237" s="13" t="s">
        <v>27</v>
      </c>
      <c r="K237" s="13" t="s">
        <v>27</v>
      </c>
      <c r="L237" s="13" t="s">
        <v>27</v>
      </c>
      <c r="M237" s="13" t="s">
        <v>27</v>
      </c>
      <c r="N237" s="13" t="s">
        <v>29</v>
      </c>
      <c r="O237" s="13" t="s">
        <v>31</v>
      </c>
      <c r="P237" s="13" t="s">
        <v>31</v>
      </c>
      <c r="Q237" s="13" t="s">
        <v>32</v>
      </c>
      <c r="R237" s="13" t="s">
        <v>40</v>
      </c>
      <c r="S237" s="13" t="s">
        <v>32</v>
      </c>
      <c r="T237" s="13" t="s">
        <v>40</v>
      </c>
      <c r="U237" s="13" t="s">
        <v>31</v>
      </c>
    </row>
    <row r="238">
      <c r="A238" s="13" t="s">
        <v>726</v>
      </c>
      <c r="B238" s="13" t="s">
        <v>727</v>
      </c>
      <c r="C238" s="14">
        <v>8.9161909226E10</v>
      </c>
      <c r="D238" s="13" t="s">
        <v>52</v>
      </c>
      <c r="E238" s="13" t="s">
        <v>76</v>
      </c>
      <c r="F238" s="13" t="s">
        <v>76</v>
      </c>
      <c r="G238" s="13" t="s">
        <v>26</v>
      </c>
      <c r="H238" s="14">
        <v>48.0</v>
      </c>
      <c r="I238" s="14">
        <f t="shared" si="10"/>
        <v>2</v>
      </c>
      <c r="J238" s="13" t="s">
        <v>39</v>
      </c>
      <c r="K238" s="13" t="s">
        <v>27</v>
      </c>
      <c r="L238" s="13" t="s">
        <v>27</v>
      </c>
      <c r="M238" s="13" t="s">
        <v>48</v>
      </c>
      <c r="N238" s="13"/>
      <c r="O238" s="13"/>
      <c r="P238" s="13" t="s">
        <v>31</v>
      </c>
      <c r="Q238" s="13" t="s">
        <v>32</v>
      </c>
      <c r="R238" s="13" t="s">
        <v>40</v>
      </c>
      <c r="S238" s="13" t="s">
        <v>32</v>
      </c>
      <c r="T238" s="13"/>
      <c r="U238" s="13"/>
    </row>
    <row r="239">
      <c r="A239" s="13" t="s">
        <v>728</v>
      </c>
      <c r="B239" s="13" t="s">
        <v>729</v>
      </c>
      <c r="C239" s="14">
        <v>8.9373555368E10</v>
      </c>
      <c r="D239" s="13" t="s">
        <v>23</v>
      </c>
      <c r="E239" s="13" t="s">
        <v>53</v>
      </c>
      <c r="F239" s="13" t="s">
        <v>54</v>
      </c>
      <c r="G239" s="13" t="s">
        <v>26</v>
      </c>
      <c r="H239" s="14">
        <v>36.0</v>
      </c>
      <c r="I239" s="14">
        <f t="shared" si="10"/>
        <v>2</v>
      </c>
      <c r="J239" s="13" t="s">
        <v>39</v>
      </c>
      <c r="K239" s="13" t="s">
        <v>27</v>
      </c>
      <c r="L239" s="13" t="s">
        <v>48</v>
      </c>
      <c r="M239" s="26" t="s">
        <v>27</v>
      </c>
      <c r="N239" s="13"/>
      <c r="O239" s="13"/>
      <c r="P239" s="13" t="s">
        <v>31</v>
      </c>
      <c r="Q239" s="13" t="s">
        <v>32</v>
      </c>
      <c r="R239" s="13"/>
      <c r="S239" s="13"/>
      <c r="T239" s="13" t="s">
        <v>31</v>
      </c>
      <c r="U239" s="13" t="s">
        <v>32</v>
      </c>
    </row>
    <row r="240">
      <c r="A240" s="13" t="s">
        <v>730</v>
      </c>
      <c r="B240" s="13" t="s">
        <v>731</v>
      </c>
      <c r="C240" s="14">
        <v>8.9052794342E10</v>
      </c>
      <c r="D240" s="13" t="s">
        <v>23</v>
      </c>
      <c r="E240" s="13" t="s">
        <v>732</v>
      </c>
      <c r="F240" s="13" t="s">
        <v>161</v>
      </c>
      <c r="G240" s="13" t="s">
        <v>26</v>
      </c>
      <c r="H240" s="14">
        <v>41.0</v>
      </c>
      <c r="I240" s="14">
        <f t="shared" si="10"/>
        <v>2</v>
      </c>
      <c r="J240" s="13" t="s">
        <v>27</v>
      </c>
      <c r="K240" s="13" t="s">
        <v>27</v>
      </c>
      <c r="L240" s="13" t="s">
        <v>39</v>
      </c>
      <c r="M240" s="13" t="s">
        <v>39</v>
      </c>
      <c r="N240" s="13" t="s">
        <v>29</v>
      </c>
      <c r="O240" s="13" t="s">
        <v>31</v>
      </c>
      <c r="P240" s="13" t="s">
        <v>31</v>
      </c>
      <c r="Q240" s="13" t="s">
        <v>32</v>
      </c>
      <c r="R240" s="13"/>
      <c r="S240" s="13"/>
      <c r="T240" s="13"/>
      <c r="U240" s="13"/>
    </row>
    <row r="241">
      <c r="A241" s="13" t="s">
        <v>733</v>
      </c>
      <c r="B241" s="13" t="s">
        <v>734</v>
      </c>
      <c r="C241" s="14">
        <v>8.919859592E10</v>
      </c>
      <c r="D241" s="13" t="s">
        <v>52</v>
      </c>
      <c r="E241" s="13" t="s">
        <v>735</v>
      </c>
      <c r="F241" s="13" t="s">
        <v>736</v>
      </c>
      <c r="G241" s="13" t="s">
        <v>38</v>
      </c>
      <c r="H241" s="14">
        <v>33.0</v>
      </c>
      <c r="I241" s="14">
        <f t="shared" si="10"/>
        <v>2</v>
      </c>
      <c r="J241" s="13" t="s">
        <v>39</v>
      </c>
      <c r="K241" s="13" t="s">
        <v>27</v>
      </c>
      <c r="L241" s="13" t="s">
        <v>39</v>
      </c>
      <c r="M241" s="13" t="s">
        <v>27</v>
      </c>
      <c r="N241" s="13"/>
      <c r="O241" s="13"/>
      <c r="P241" s="13" t="s">
        <v>29</v>
      </c>
      <c r="Q241" s="13" t="s">
        <v>31</v>
      </c>
      <c r="R241" s="13"/>
      <c r="S241" s="13"/>
      <c r="T241" s="13" t="s">
        <v>40</v>
      </c>
      <c r="U241" s="13" t="s">
        <v>31</v>
      </c>
    </row>
    <row r="242">
      <c r="A242" s="13" t="s">
        <v>737</v>
      </c>
      <c r="B242" s="13" t="s">
        <v>738</v>
      </c>
      <c r="C242" s="14">
        <v>8.9164941794E10</v>
      </c>
      <c r="D242" s="13" t="s">
        <v>23</v>
      </c>
      <c r="E242" s="13" t="s">
        <v>77</v>
      </c>
      <c r="F242" s="13" t="s">
        <v>77</v>
      </c>
      <c r="G242" s="13" t="s">
        <v>26</v>
      </c>
      <c r="H242" s="14">
        <v>41.0</v>
      </c>
      <c r="I242" s="14">
        <f t="shared" si="10"/>
        <v>3</v>
      </c>
      <c r="J242" s="21" t="s">
        <v>27</v>
      </c>
      <c r="K242" s="13" t="s">
        <v>27</v>
      </c>
      <c r="L242" s="13" t="s">
        <v>48</v>
      </c>
      <c r="M242" s="21" t="s">
        <v>27</v>
      </c>
      <c r="N242" s="13" t="s">
        <v>29</v>
      </c>
      <c r="O242" s="13" t="s">
        <v>31</v>
      </c>
      <c r="P242" s="13" t="s">
        <v>31</v>
      </c>
      <c r="Q242" s="13" t="s">
        <v>32</v>
      </c>
      <c r="R242" s="13"/>
      <c r="S242" s="13"/>
      <c r="T242" s="13" t="s">
        <v>40</v>
      </c>
      <c r="U242" s="13" t="s">
        <v>32</v>
      </c>
    </row>
    <row r="243">
      <c r="A243" s="13" t="s">
        <v>739</v>
      </c>
      <c r="B243" s="13" t="s">
        <v>740</v>
      </c>
      <c r="C243" s="14">
        <v>8.9774914121E10</v>
      </c>
      <c r="D243" s="13" t="s">
        <v>23</v>
      </c>
      <c r="E243" s="13" t="s">
        <v>36</v>
      </c>
      <c r="F243" s="13" t="s">
        <v>741</v>
      </c>
      <c r="G243" s="13" t="s">
        <v>26</v>
      </c>
      <c r="H243" s="14">
        <v>39.0</v>
      </c>
      <c r="I243" s="14">
        <f t="shared" si="10"/>
        <v>4</v>
      </c>
      <c r="J243" s="13" t="s">
        <v>27</v>
      </c>
      <c r="K243" s="13" t="s">
        <v>27</v>
      </c>
      <c r="L243" s="13" t="s">
        <v>27</v>
      </c>
      <c r="M243" s="13" t="s">
        <v>27</v>
      </c>
      <c r="N243" s="13" t="s">
        <v>29</v>
      </c>
      <c r="O243" s="13" t="s">
        <v>30</v>
      </c>
      <c r="P243" s="13" t="s">
        <v>29</v>
      </c>
      <c r="Q243" s="13" t="s">
        <v>30</v>
      </c>
      <c r="R243" s="13" t="s">
        <v>31</v>
      </c>
      <c r="S243" s="13" t="s">
        <v>32</v>
      </c>
      <c r="T243" s="13" t="s">
        <v>40</v>
      </c>
      <c r="U243" s="13" t="s">
        <v>32</v>
      </c>
    </row>
    <row r="244">
      <c r="A244" s="13" t="s">
        <v>742</v>
      </c>
      <c r="B244" s="20" t="s">
        <v>743</v>
      </c>
      <c r="C244" s="14">
        <v>8.9091011335E10</v>
      </c>
      <c r="D244" s="13" t="s">
        <v>23</v>
      </c>
      <c r="E244" s="13" t="s">
        <v>494</v>
      </c>
      <c r="F244" s="13" t="s">
        <v>335</v>
      </c>
      <c r="G244" s="13" t="s">
        <v>26</v>
      </c>
      <c r="H244" s="14">
        <v>40.0</v>
      </c>
      <c r="I244" s="13"/>
      <c r="J244" s="13" t="s">
        <v>48</v>
      </c>
      <c r="K244" s="13" t="s">
        <v>27</v>
      </c>
      <c r="L244" s="13" t="s">
        <v>39</v>
      </c>
      <c r="M244" s="13" t="s">
        <v>48</v>
      </c>
      <c r="N244" s="13"/>
      <c r="O244" s="13"/>
      <c r="P244" s="13" t="s">
        <v>31</v>
      </c>
      <c r="Q244" s="13" t="s">
        <v>32</v>
      </c>
      <c r="R244" s="13"/>
      <c r="S244" s="13"/>
      <c r="T244" s="13"/>
      <c r="U244" s="13"/>
    </row>
    <row r="245">
      <c r="A245" s="13" t="s">
        <v>744</v>
      </c>
      <c r="B245" s="13" t="s">
        <v>745</v>
      </c>
      <c r="C245" s="14">
        <v>8.9276561018E10</v>
      </c>
      <c r="D245" s="13" t="s">
        <v>23</v>
      </c>
      <c r="E245" s="13" t="s">
        <v>157</v>
      </c>
      <c r="F245" s="13" t="s">
        <v>202</v>
      </c>
      <c r="G245" s="13" t="s">
        <v>26</v>
      </c>
      <c r="H245" s="14">
        <v>39.0</v>
      </c>
      <c r="I245" s="13"/>
      <c r="J245" s="13" t="s">
        <v>48</v>
      </c>
      <c r="K245" s="13" t="s">
        <v>27</v>
      </c>
      <c r="L245" s="13" t="s">
        <v>48</v>
      </c>
      <c r="M245" s="13" t="s">
        <v>27</v>
      </c>
      <c r="N245" s="13"/>
      <c r="O245" s="13"/>
      <c r="P245" s="13" t="s">
        <v>40</v>
      </c>
      <c r="Q245" s="13" t="s">
        <v>32</v>
      </c>
      <c r="R245" s="13"/>
      <c r="S245" s="13"/>
      <c r="T245" s="13" t="s">
        <v>29</v>
      </c>
      <c r="U245" s="13" t="s">
        <v>31</v>
      </c>
    </row>
    <row r="246">
      <c r="A246" s="13" t="s">
        <v>746</v>
      </c>
      <c r="B246" s="20" t="s">
        <v>747</v>
      </c>
      <c r="C246" s="14">
        <v>8.9896364327E10</v>
      </c>
      <c r="D246" s="13" t="s">
        <v>23</v>
      </c>
      <c r="E246" s="13" t="s">
        <v>381</v>
      </c>
      <c r="F246" s="13" t="s">
        <v>381</v>
      </c>
      <c r="G246" s="13" t="s">
        <v>38</v>
      </c>
      <c r="H246" s="14">
        <v>29.0</v>
      </c>
      <c r="I246" s="13"/>
      <c r="J246" s="13" t="s">
        <v>39</v>
      </c>
      <c r="K246" s="13" t="s">
        <v>27</v>
      </c>
      <c r="L246" s="26" t="s">
        <v>27</v>
      </c>
      <c r="M246" s="13" t="s">
        <v>48</v>
      </c>
      <c r="N246" s="13"/>
      <c r="O246" s="13"/>
      <c r="P246" s="13" t="s">
        <v>31</v>
      </c>
      <c r="Q246" s="13" t="s">
        <v>32</v>
      </c>
      <c r="R246" s="13" t="s">
        <v>31</v>
      </c>
      <c r="S246" s="13" t="s">
        <v>32</v>
      </c>
      <c r="T246" s="13"/>
      <c r="U246" s="13"/>
    </row>
    <row r="247">
      <c r="A247" s="13" t="s">
        <v>748</v>
      </c>
      <c r="B247" s="13" t="s">
        <v>749</v>
      </c>
      <c r="C247" s="14">
        <v>8.9045883559E10</v>
      </c>
      <c r="D247" s="13" t="s">
        <v>23</v>
      </c>
      <c r="E247" s="13" t="s">
        <v>610</v>
      </c>
      <c r="F247" s="13" t="s">
        <v>610</v>
      </c>
      <c r="G247" s="13" t="s">
        <v>26</v>
      </c>
      <c r="H247" s="14">
        <v>39.0</v>
      </c>
      <c r="I247" s="13"/>
      <c r="J247" s="13" t="s">
        <v>39</v>
      </c>
      <c r="K247" s="13" t="s">
        <v>27</v>
      </c>
      <c r="L247" s="13" t="s">
        <v>27</v>
      </c>
      <c r="M247" s="13" t="s">
        <v>27</v>
      </c>
      <c r="N247" s="13"/>
      <c r="O247" s="13"/>
      <c r="P247" s="13" t="s">
        <v>40</v>
      </c>
      <c r="Q247" s="13" t="s">
        <v>32</v>
      </c>
      <c r="R247" s="13" t="s">
        <v>29</v>
      </c>
      <c r="S247" s="13" t="s">
        <v>30</v>
      </c>
      <c r="T247" s="13" t="s">
        <v>29</v>
      </c>
      <c r="U247" s="13" t="s">
        <v>30</v>
      </c>
    </row>
    <row r="248">
      <c r="A248" s="13" t="s">
        <v>750</v>
      </c>
      <c r="B248" s="13" t="s">
        <v>751</v>
      </c>
      <c r="C248" s="14">
        <v>8.9829921377E10</v>
      </c>
      <c r="D248" s="13" t="s">
        <v>23</v>
      </c>
      <c r="E248" s="13" t="s">
        <v>752</v>
      </c>
      <c r="F248" s="13" t="s">
        <v>625</v>
      </c>
      <c r="G248" s="13" t="s">
        <v>26</v>
      </c>
      <c r="H248" s="14">
        <v>38.0</v>
      </c>
      <c r="I248" s="13"/>
      <c r="J248" s="26" t="s">
        <v>27</v>
      </c>
      <c r="K248" s="13" t="s">
        <v>48</v>
      </c>
      <c r="L248" s="13" t="s">
        <v>39</v>
      </c>
      <c r="M248" s="13" t="s">
        <v>48</v>
      </c>
      <c r="N248" s="13" t="s">
        <v>31</v>
      </c>
      <c r="O248" s="13" t="s">
        <v>32</v>
      </c>
      <c r="P248" s="25" t="s">
        <v>33</v>
      </c>
      <c r="Q248" s="25" t="s">
        <v>33</v>
      </c>
      <c r="R248" s="13"/>
      <c r="S248" s="13"/>
      <c r="T248" s="25" t="s">
        <v>33</v>
      </c>
      <c r="U248" s="25" t="s">
        <v>33</v>
      </c>
    </row>
    <row r="249">
      <c r="A249" s="13" t="s">
        <v>753</v>
      </c>
      <c r="B249" s="20" t="s">
        <v>754</v>
      </c>
      <c r="C249" s="14">
        <v>8.9506531057E10</v>
      </c>
      <c r="D249" s="13" t="s">
        <v>23</v>
      </c>
      <c r="E249" s="13" t="s">
        <v>128</v>
      </c>
      <c r="F249" s="13" t="s">
        <v>129</v>
      </c>
      <c r="G249" s="13" t="s">
        <v>26</v>
      </c>
      <c r="H249" s="14">
        <v>41.0</v>
      </c>
      <c r="I249" s="14">
        <f t="shared" ref="I249:I251" si="11">COUNTIF(J249:M249, "Да")</f>
        <v>1</v>
      </c>
      <c r="J249" s="13" t="s">
        <v>27</v>
      </c>
      <c r="K249" s="13" t="s">
        <v>28</v>
      </c>
      <c r="L249" s="13" t="s">
        <v>39</v>
      </c>
      <c r="M249" s="13" t="s">
        <v>39</v>
      </c>
      <c r="N249" s="13" t="s">
        <v>29</v>
      </c>
      <c r="O249" s="13" t="s">
        <v>31</v>
      </c>
      <c r="P249" s="25" t="s">
        <v>33</v>
      </c>
      <c r="Q249" s="25" t="s">
        <v>33</v>
      </c>
      <c r="R249" s="13"/>
      <c r="S249" s="13"/>
      <c r="T249" s="13"/>
      <c r="U249" s="13"/>
    </row>
    <row r="250">
      <c r="A250" s="13" t="s">
        <v>755</v>
      </c>
      <c r="B250" s="13" t="s">
        <v>756</v>
      </c>
      <c r="C250" s="14">
        <v>8.9244492556E10</v>
      </c>
      <c r="D250" s="13" t="s">
        <v>52</v>
      </c>
      <c r="E250" s="13" t="s">
        <v>757</v>
      </c>
      <c r="F250" s="13" t="s">
        <v>758</v>
      </c>
      <c r="G250" s="13" t="s">
        <v>26</v>
      </c>
      <c r="H250" s="14">
        <v>36.0</v>
      </c>
      <c r="I250" s="14">
        <f t="shared" si="11"/>
        <v>2</v>
      </c>
      <c r="J250" s="13" t="s">
        <v>27</v>
      </c>
      <c r="K250" s="13" t="s">
        <v>48</v>
      </c>
      <c r="L250" s="13" t="s">
        <v>48</v>
      </c>
      <c r="M250" s="13" t="s">
        <v>27</v>
      </c>
      <c r="N250" s="13" t="s">
        <v>29</v>
      </c>
      <c r="O250" s="13" t="s">
        <v>31</v>
      </c>
      <c r="P250" s="25" t="s">
        <v>33</v>
      </c>
      <c r="Q250" s="25" t="s">
        <v>33</v>
      </c>
      <c r="R250" s="25" t="s">
        <v>33</v>
      </c>
      <c r="S250" s="25" t="s">
        <v>33</v>
      </c>
      <c r="T250" s="13" t="s">
        <v>40</v>
      </c>
      <c r="U250" s="13" t="s">
        <v>32</v>
      </c>
      <c r="V250" s="13"/>
      <c r="W250" s="13"/>
      <c r="X250" s="13"/>
    </row>
    <row r="251">
      <c r="A251" s="13" t="s">
        <v>759</v>
      </c>
      <c r="B251" s="20" t="s">
        <v>760</v>
      </c>
      <c r="C251" s="14">
        <v>8.9371450799E10</v>
      </c>
      <c r="D251" s="13" t="s">
        <v>52</v>
      </c>
      <c r="E251" s="13" t="s">
        <v>199</v>
      </c>
      <c r="F251" s="13" t="s">
        <v>761</v>
      </c>
      <c r="G251" s="13" t="s">
        <v>26</v>
      </c>
      <c r="H251" s="14">
        <v>21.0</v>
      </c>
      <c r="I251" s="14">
        <f t="shared" si="11"/>
        <v>2</v>
      </c>
      <c r="J251" s="13" t="s">
        <v>27</v>
      </c>
      <c r="K251" s="13" t="s">
        <v>39</v>
      </c>
      <c r="L251" s="13" t="s">
        <v>27</v>
      </c>
      <c r="M251" s="13" t="s">
        <v>48</v>
      </c>
      <c r="N251" s="13" t="s">
        <v>29</v>
      </c>
      <c r="O251" s="13" t="s">
        <v>31</v>
      </c>
      <c r="P251" s="13"/>
      <c r="Q251" s="13"/>
      <c r="R251" s="13" t="s">
        <v>29</v>
      </c>
      <c r="S251" s="13" t="s">
        <v>30</v>
      </c>
      <c r="T251" s="25" t="s">
        <v>33</v>
      </c>
      <c r="U251" s="25" t="s">
        <v>33</v>
      </c>
      <c r="V251" s="13"/>
      <c r="W251" s="13"/>
      <c r="X251" s="13"/>
    </row>
    <row r="252">
      <c r="A252" s="13" t="s">
        <v>762</v>
      </c>
      <c r="B252" s="13" t="s">
        <v>763</v>
      </c>
      <c r="C252" s="14">
        <v>8.9604105489E10</v>
      </c>
      <c r="D252" s="13" t="s">
        <v>23</v>
      </c>
      <c r="E252" s="13" t="s">
        <v>77</v>
      </c>
      <c r="F252" s="13" t="s">
        <v>77</v>
      </c>
      <c r="G252" s="13" t="s">
        <v>26</v>
      </c>
      <c r="H252" s="14">
        <v>23.0</v>
      </c>
      <c r="I252" s="13"/>
      <c r="J252" s="13" t="s">
        <v>27</v>
      </c>
      <c r="K252" s="13" t="s">
        <v>27</v>
      </c>
      <c r="L252" s="13" t="s">
        <v>27</v>
      </c>
      <c r="M252" s="13" t="s">
        <v>27</v>
      </c>
      <c r="N252" s="13" t="s">
        <v>29</v>
      </c>
      <c r="O252" s="13" t="s">
        <v>30</v>
      </c>
      <c r="P252" s="13"/>
      <c r="Q252" s="13"/>
      <c r="R252" s="13" t="s">
        <v>40</v>
      </c>
      <c r="S252" s="13" t="s">
        <v>32</v>
      </c>
      <c r="T252" s="13" t="s">
        <v>30</v>
      </c>
      <c r="U252" s="13"/>
      <c r="V252" s="13"/>
      <c r="W252" s="13"/>
      <c r="X252" s="13"/>
    </row>
    <row r="253">
      <c r="A253" s="13" t="s">
        <v>764</v>
      </c>
      <c r="B253" s="20" t="s">
        <v>765</v>
      </c>
      <c r="C253" s="14">
        <v>8.923350784E10</v>
      </c>
      <c r="D253" s="13" t="s">
        <v>52</v>
      </c>
      <c r="E253" s="13" t="s">
        <v>433</v>
      </c>
      <c r="F253" s="13" t="s">
        <v>766</v>
      </c>
      <c r="G253" s="13" t="s">
        <v>26</v>
      </c>
      <c r="H253" s="14">
        <v>38.0</v>
      </c>
      <c r="I253" s="13"/>
      <c r="J253" s="13" t="s">
        <v>39</v>
      </c>
      <c r="K253" s="13" t="s">
        <v>48</v>
      </c>
      <c r="L253" s="13" t="s">
        <v>27</v>
      </c>
      <c r="M253" s="13" t="s">
        <v>27</v>
      </c>
      <c r="N253" s="25" t="s">
        <v>33</v>
      </c>
      <c r="O253" s="25" t="s">
        <v>33</v>
      </c>
      <c r="P253" s="25" t="s">
        <v>33</v>
      </c>
      <c r="Q253" s="25" t="s">
        <v>33</v>
      </c>
      <c r="R253" s="13" t="s">
        <v>31</v>
      </c>
      <c r="S253" s="13" t="s">
        <v>32</v>
      </c>
      <c r="T253" s="25" t="s">
        <v>33</v>
      </c>
      <c r="U253" s="25" t="s">
        <v>33</v>
      </c>
      <c r="V253" s="13"/>
      <c r="W253" s="13"/>
      <c r="X253" s="13"/>
    </row>
    <row r="254">
      <c r="A254" s="13" t="s">
        <v>767</v>
      </c>
      <c r="B254" s="13" t="s">
        <v>768</v>
      </c>
      <c r="C254" s="14">
        <v>8.9824751286E10</v>
      </c>
      <c r="D254" s="13" t="s">
        <v>23</v>
      </c>
      <c r="E254" s="13" t="s">
        <v>494</v>
      </c>
      <c r="F254" s="13" t="s">
        <v>769</v>
      </c>
      <c r="G254" s="13" t="s">
        <v>38</v>
      </c>
      <c r="H254" s="14">
        <v>25.0</v>
      </c>
      <c r="I254" s="14">
        <f>COUNTIF(J254:M254, "Да")</f>
        <v>1</v>
      </c>
      <c r="J254" s="13" t="s">
        <v>39</v>
      </c>
      <c r="K254" s="13" t="s">
        <v>39</v>
      </c>
      <c r="L254" s="13" t="s">
        <v>39</v>
      </c>
      <c r="M254" s="13" t="s">
        <v>27</v>
      </c>
      <c r="N254" s="13"/>
      <c r="O254" s="13"/>
      <c r="P254" s="14"/>
      <c r="Q254" s="13"/>
      <c r="R254" s="13"/>
      <c r="S254" s="13"/>
      <c r="T254" s="13" t="s">
        <v>40</v>
      </c>
      <c r="U254" s="13" t="s">
        <v>32</v>
      </c>
      <c r="V254" s="13"/>
      <c r="W254" s="13"/>
      <c r="X254" s="13"/>
    </row>
    <row r="255">
      <c r="A255" s="13" t="s">
        <v>770</v>
      </c>
      <c r="B255" s="13" t="s">
        <v>771</v>
      </c>
      <c r="C255" s="14">
        <v>8.9119684162E10</v>
      </c>
      <c r="D255" s="13" t="s">
        <v>23</v>
      </c>
      <c r="E255" s="13" t="s">
        <v>161</v>
      </c>
      <c r="F255" s="13" t="s">
        <v>161</v>
      </c>
      <c r="G255" s="13" t="s">
        <v>26</v>
      </c>
      <c r="H255" s="14">
        <v>23.0</v>
      </c>
      <c r="I255" s="13"/>
      <c r="J255" s="13" t="s">
        <v>27</v>
      </c>
      <c r="K255" s="13" t="s">
        <v>48</v>
      </c>
      <c r="L255" s="13" t="s">
        <v>27</v>
      </c>
      <c r="M255" s="13" t="s">
        <v>48</v>
      </c>
      <c r="N255" s="13" t="s">
        <v>40</v>
      </c>
      <c r="O255" s="13" t="s">
        <v>32</v>
      </c>
      <c r="P255" s="25" t="s">
        <v>33</v>
      </c>
      <c r="Q255" s="25" t="s">
        <v>33</v>
      </c>
      <c r="R255" s="13" t="s">
        <v>40</v>
      </c>
      <c r="S255" s="13" t="s">
        <v>32</v>
      </c>
      <c r="T255" s="25" t="s">
        <v>33</v>
      </c>
      <c r="U255" s="25" t="s">
        <v>33</v>
      </c>
      <c r="V255" s="13"/>
      <c r="W255" s="13"/>
      <c r="X255" s="13"/>
    </row>
    <row r="256">
      <c r="A256" s="13" t="s">
        <v>772</v>
      </c>
      <c r="B256" s="20" t="s">
        <v>773</v>
      </c>
      <c r="C256" s="14">
        <v>8.9113538497E10</v>
      </c>
      <c r="D256" s="13" t="s">
        <v>23</v>
      </c>
      <c r="E256" s="13" t="s">
        <v>774</v>
      </c>
      <c r="F256" s="13" t="s">
        <v>775</v>
      </c>
      <c r="G256" s="13" t="s">
        <v>26</v>
      </c>
      <c r="H256" s="14">
        <v>26.0</v>
      </c>
      <c r="I256" s="13"/>
      <c r="J256" s="13" t="s">
        <v>27</v>
      </c>
      <c r="K256" s="13" t="s">
        <v>48</v>
      </c>
      <c r="L256" s="13" t="s">
        <v>27</v>
      </c>
      <c r="M256" s="13" t="s">
        <v>48</v>
      </c>
      <c r="N256" s="13" t="s">
        <v>29</v>
      </c>
      <c r="O256" s="13" t="s">
        <v>31</v>
      </c>
      <c r="P256" s="25" t="s">
        <v>33</v>
      </c>
      <c r="Q256" s="25" t="s">
        <v>33</v>
      </c>
      <c r="R256" s="13" t="s">
        <v>29</v>
      </c>
      <c r="S256" s="13" t="s">
        <v>30</v>
      </c>
      <c r="T256" s="25" t="s">
        <v>33</v>
      </c>
      <c r="U256" s="25" t="s">
        <v>33</v>
      </c>
      <c r="V256" s="13"/>
      <c r="W256" s="13"/>
      <c r="X256" s="13"/>
    </row>
    <row r="257">
      <c r="A257" s="13" t="s">
        <v>776</v>
      </c>
      <c r="B257" s="20" t="s">
        <v>777</v>
      </c>
      <c r="C257" s="14">
        <v>8.9911232303E10</v>
      </c>
      <c r="D257" s="13" t="s">
        <v>23</v>
      </c>
      <c r="E257" s="13" t="s">
        <v>77</v>
      </c>
      <c r="F257" s="13" t="s">
        <v>77</v>
      </c>
      <c r="G257" s="13" t="s">
        <v>38</v>
      </c>
      <c r="H257" s="14">
        <v>33.0</v>
      </c>
      <c r="I257" s="13"/>
      <c r="J257" s="13" t="s">
        <v>27</v>
      </c>
      <c r="K257" s="13" t="s">
        <v>39</v>
      </c>
      <c r="L257" s="26" t="s">
        <v>27</v>
      </c>
      <c r="M257" s="13" t="s">
        <v>48</v>
      </c>
      <c r="N257" s="13" t="s">
        <v>29</v>
      </c>
      <c r="O257" s="13" t="s">
        <v>31</v>
      </c>
      <c r="P257" s="13"/>
      <c r="Q257" s="13"/>
      <c r="R257" s="13" t="s">
        <v>40</v>
      </c>
      <c r="S257" s="13" t="s">
        <v>32</v>
      </c>
      <c r="T257" s="25" t="s">
        <v>33</v>
      </c>
      <c r="U257" s="25" t="s">
        <v>33</v>
      </c>
      <c r="V257" s="13"/>
      <c r="W257" s="13"/>
      <c r="X257" s="13"/>
    </row>
    <row r="258">
      <c r="A258" s="13" t="s">
        <v>778</v>
      </c>
      <c r="B258" s="20" t="s">
        <v>779</v>
      </c>
      <c r="C258" s="14">
        <v>8.9655792256E10</v>
      </c>
      <c r="D258" s="13" t="s">
        <v>23</v>
      </c>
      <c r="E258" s="13" t="s">
        <v>494</v>
      </c>
      <c r="F258" s="13" t="s">
        <v>335</v>
      </c>
      <c r="G258" s="13" t="s">
        <v>26</v>
      </c>
      <c r="H258" s="14">
        <v>33.0</v>
      </c>
      <c r="I258" s="13"/>
      <c r="J258" s="13" t="s">
        <v>27</v>
      </c>
      <c r="K258" s="13" t="s">
        <v>27</v>
      </c>
      <c r="L258" s="13" t="s">
        <v>48</v>
      </c>
      <c r="M258" s="13" t="s">
        <v>27</v>
      </c>
      <c r="N258" s="31" t="s">
        <v>40</v>
      </c>
      <c r="O258" s="31" t="s">
        <v>30</v>
      </c>
      <c r="P258" s="31" t="s">
        <v>40</v>
      </c>
      <c r="Q258" s="31" t="s">
        <v>32</v>
      </c>
      <c r="R258" s="13"/>
      <c r="S258" s="13"/>
      <c r="T258" s="31" t="s">
        <v>29</v>
      </c>
      <c r="U258" s="31" t="s">
        <v>30</v>
      </c>
      <c r="V258" s="13"/>
      <c r="W258" s="13"/>
      <c r="X258" s="13"/>
    </row>
    <row r="259">
      <c r="A259" s="13" t="s">
        <v>780</v>
      </c>
      <c r="B259" s="13" t="s">
        <v>781</v>
      </c>
      <c r="C259" s="14">
        <v>8.9205168068E10</v>
      </c>
      <c r="D259" s="13" t="s">
        <v>23</v>
      </c>
      <c r="E259" s="13" t="s">
        <v>782</v>
      </c>
      <c r="F259" s="13" t="s">
        <v>783</v>
      </c>
      <c r="G259" s="13" t="s">
        <v>26</v>
      </c>
      <c r="H259" s="14">
        <v>39.0</v>
      </c>
      <c r="I259" s="14">
        <f>COUNTIF(J259:M259, "Да")</f>
        <v>2</v>
      </c>
      <c r="J259" s="13" t="s">
        <v>39</v>
      </c>
      <c r="K259" s="13" t="s">
        <v>48</v>
      </c>
      <c r="L259" s="13" t="s">
        <v>27</v>
      </c>
      <c r="M259" s="13" t="s">
        <v>27</v>
      </c>
      <c r="N259" s="13"/>
      <c r="O259" s="13"/>
      <c r="P259" s="25" t="s">
        <v>33</v>
      </c>
      <c r="Q259" s="25" t="s">
        <v>33</v>
      </c>
      <c r="R259" s="31" t="s">
        <v>29</v>
      </c>
      <c r="S259" s="31" t="s">
        <v>30</v>
      </c>
      <c r="T259" s="31" t="s">
        <v>40</v>
      </c>
      <c r="U259" s="31" t="s">
        <v>32</v>
      </c>
      <c r="V259" s="13"/>
      <c r="W259" s="13"/>
      <c r="X259" s="13"/>
    </row>
    <row r="260">
      <c r="A260" s="13" t="s">
        <v>784</v>
      </c>
      <c r="B260" s="20" t="s">
        <v>785</v>
      </c>
      <c r="C260" s="14">
        <v>8.9308847061E10</v>
      </c>
      <c r="D260" s="13" t="s">
        <v>52</v>
      </c>
      <c r="E260" s="13" t="s">
        <v>358</v>
      </c>
      <c r="F260" s="13" t="s">
        <v>358</v>
      </c>
      <c r="G260" s="13" t="s">
        <v>26</v>
      </c>
      <c r="H260" s="14">
        <v>28.0</v>
      </c>
      <c r="I260" s="13"/>
      <c r="J260" s="13" t="s">
        <v>27</v>
      </c>
      <c r="K260" s="13" t="s">
        <v>48</v>
      </c>
      <c r="L260" s="13" t="s">
        <v>27</v>
      </c>
      <c r="M260" s="13" t="s">
        <v>48</v>
      </c>
      <c r="N260" s="13" t="s">
        <v>29</v>
      </c>
      <c r="O260" s="13" t="s">
        <v>30</v>
      </c>
      <c r="P260" s="13"/>
      <c r="Q260" s="13"/>
      <c r="R260" s="13" t="s">
        <v>29</v>
      </c>
      <c r="S260" s="13" t="s">
        <v>30</v>
      </c>
      <c r="T260" s="13"/>
      <c r="U260" s="13"/>
      <c r="V260" s="13"/>
    </row>
    <row r="261">
      <c r="A261" s="13" t="s">
        <v>786</v>
      </c>
      <c r="B261" s="13" t="s">
        <v>787</v>
      </c>
      <c r="C261" s="14">
        <v>8.91012106E10</v>
      </c>
      <c r="D261" s="13" t="s">
        <v>52</v>
      </c>
      <c r="E261" s="13" t="s">
        <v>788</v>
      </c>
      <c r="F261" s="13" t="s">
        <v>101</v>
      </c>
      <c r="G261" s="13" t="s">
        <v>38</v>
      </c>
      <c r="H261" s="14">
        <v>38.0</v>
      </c>
      <c r="I261" s="14">
        <f t="shared" ref="I261:I265" si="12">COUNTIF(J261:M261, "Да")</f>
        <v>2</v>
      </c>
      <c r="J261" s="13" t="s">
        <v>27</v>
      </c>
      <c r="K261" s="13" t="s">
        <v>28</v>
      </c>
      <c r="L261" s="13" t="s">
        <v>28</v>
      </c>
      <c r="M261" s="13" t="s">
        <v>27</v>
      </c>
      <c r="N261" s="13" t="s">
        <v>40</v>
      </c>
      <c r="O261" s="13" t="s">
        <v>32</v>
      </c>
      <c r="P261" s="25" t="s">
        <v>33</v>
      </c>
      <c r="Q261" s="25" t="s">
        <v>33</v>
      </c>
      <c r="R261" s="25" t="s">
        <v>33</v>
      </c>
      <c r="S261" s="25" t="s">
        <v>33</v>
      </c>
      <c r="T261" s="13" t="s">
        <v>40</v>
      </c>
      <c r="U261" s="13" t="s">
        <v>32</v>
      </c>
    </row>
    <row r="262">
      <c r="A262" s="13" t="s">
        <v>789</v>
      </c>
      <c r="B262" s="20" t="s">
        <v>790</v>
      </c>
      <c r="C262" s="14">
        <v>8.9038279E10</v>
      </c>
      <c r="D262" s="13" t="s">
        <v>23</v>
      </c>
      <c r="E262" s="13" t="s">
        <v>188</v>
      </c>
      <c r="F262" s="13" t="s">
        <v>791</v>
      </c>
      <c r="G262" s="13" t="s">
        <v>26</v>
      </c>
      <c r="H262" s="14">
        <v>53.0</v>
      </c>
      <c r="I262" s="14">
        <f t="shared" si="12"/>
        <v>2</v>
      </c>
      <c r="J262" s="13" t="s">
        <v>27</v>
      </c>
      <c r="K262" s="13" t="s">
        <v>27</v>
      </c>
      <c r="L262" s="13" t="s">
        <v>28</v>
      </c>
      <c r="M262" s="13" t="s">
        <v>28</v>
      </c>
      <c r="N262" s="13" t="s">
        <v>40</v>
      </c>
      <c r="O262" s="13" t="s">
        <v>32</v>
      </c>
      <c r="P262" s="13" t="s">
        <v>29</v>
      </c>
      <c r="Q262" s="13" t="s">
        <v>30</v>
      </c>
      <c r="R262" s="25" t="s">
        <v>33</v>
      </c>
      <c r="S262" s="25" t="s">
        <v>33</v>
      </c>
      <c r="T262" s="25" t="s">
        <v>33</v>
      </c>
      <c r="U262" s="25" t="s">
        <v>33</v>
      </c>
    </row>
    <row r="263">
      <c r="A263" s="13" t="s">
        <v>792</v>
      </c>
      <c r="B263" s="20" t="s">
        <v>793</v>
      </c>
      <c r="C263" s="14">
        <v>8.9601038602E10</v>
      </c>
      <c r="D263" s="13" t="s">
        <v>23</v>
      </c>
      <c r="E263" s="13" t="s">
        <v>121</v>
      </c>
      <c r="F263" s="13" t="s">
        <v>122</v>
      </c>
      <c r="G263" s="13" t="s">
        <v>26</v>
      </c>
      <c r="H263" s="14">
        <v>34.0</v>
      </c>
      <c r="I263" s="14">
        <f t="shared" si="12"/>
        <v>2</v>
      </c>
      <c r="J263" s="13" t="s">
        <v>27</v>
      </c>
      <c r="K263" s="13" t="s">
        <v>28</v>
      </c>
      <c r="L263" s="13" t="s">
        <v>27</v>
      </c>
      <c r="M263" s="13" t="s">
        <v>28</v>
      </c>
      <c r="N263" s="13" t="s">
        <v>31</v>
      </c>
      <c r="O263" s="13" t="s">
        <v>32</v>
      </c>
      <c r="P263" s="25" t="s">
        <v>33</v>
      </c>
      <c r="Q263" s="25" t="s">
        <v>33</v>
      </c>
      <c r="R263" s="13" t="s">
        <v>31</v>
      </c>
      <c r="S263" s="13" t="s">
        <v>32</v>
      </c>
      <c r="T263" s="25" t="s">
        <v>33</v>
      </c>
      <c r="U263" s="25" t="s">
        <v>33</v>
      </c>
    </row>
    <row r="264">
      <c r="A264" s="13" t="s">
        <v>794</v>
      </c>
      <c r="B264" s="13" t="s">
        <v>795</v>
      </c>
      <c r="C264" s="14">
        <v>8.9044487961E10</v>
      </c>
      <c r="D264" s="13" t="s">
        <v>23</v>
      </c>
      <c r="E264" s="13" t="s">
        <v>205</v>
      </c>
      <c r="F264" s="13" t="s">
        <v>796</v>
      </c>
      <c r="G264" s="13" t="s">
        <v>38</v>
      </c>
      <c r="H264" s="14">
        <v>53.0</v>
      </c>
      <c r="I264" s="14">
        <f t="shared" si="12"/>
        <v>2</v>
      </c>
      <c r="J264" s="13" t="s">
        <v>39</v>
      </c>
      <c r="K264" s="13" t="s">
        <v>27</v>
      </c>
      <c r="L264" s="13" t="s">
        <v>39</v>
      </c>
      <c r="M264" s="13" t="s">
        <v>27</v>
      </c>
      <c r="N264" s="13"/>
      <c r="O264" s="13"/>
      <c r="P264" s="13" t="s">
        <v>31</v>
      </c>
      <c r="Q264" s="13" t="s">
        <v>30</v>
      </c>
      <c r="R264" s="13"/>
      <c r="S264" s="13"/>
      <c r="T264" s="13" t="s">
        <v>31</v>
      </c>
      <c r="U264" s="13" t="s">
        <v>30</v>
      </c>
    </row>
    <row r="265">
      <c r="A265" s="13" t="s">
        <v>797</v>
      </c>
      <c r="B265" s="13" t="s">
        <v>798</v>
      </c>
      <c r="C265" s="14">
        <v>8.9119508149E10</v>
      </c>
      <c r="D265" s="13" t="s">
        <v>23</v>
      </c>
      <c r="E265" s="13" t="s">
        <v>144</v>
      </c>
      <c r="F265" s="13" t="s">
        <v>144</v>
      </c>
      <c r="G265" s="13" t="s">
        <v>26</v>
      </c>
      <c r="H265" s="14">
        <v>41.0</v>
      </c>
      <c r="I265" s="14">
        <f t="shared" si="12"/>
        <v>2</v>
      </c>
      <c r="J265" s="13" t="s">
        <v>28</v>
      </c>
      <c r="K265" s="13" t="s">
        <v>28</v>
      </c>
      <c r="L265" s="13" t="s">
        <v>27</v>
      </c>
      <c r="M265" s="13" t="s">
        <v>27</v>
      </c>
      <c r="N265" s="25" t="s">
        <v>33</v>
      </c>
      <c r="O265" s="25" t="s">
        <v>33</v>
      </c>
      <c r="P265" s="25" t="s">
        <v>33</v>
      </c>
      <c r="Q265" s="25" t="s">
        <v>33</v>
      </c>
      <c r="R265" s="13" t="s">
        <v>29</v>
      </c>
      <c r="S265" s="13" t="s">
        <v>31</v>
      </c>
      <c r="T265" s="13" t="s">
        <v>40</v>
      </c>
      <c r="U265" s="13" t="s">
        <v>32</v>
      </c>
    </row>
    <row r="266">
      <c r="A266" s="13" t="s">
        <v>799</v>
      </c>
      <c r="B266" s="20" t="s">
        <v>800</v>
      </c>
      <c r="C266" s="14">
        <v>8.9211416302E10</v>
      </c>
      <c r="D266" s="13" t="s">
        <v>23</v>
      </c>
      <c r="E266" s="13" t="s">
        <v>801</v>
      </c>
      <c r="F266" s="13" t="s">
        <v>801</v>
      </c>
      <c r="G266" s="13" t="s">
        <v>26</v>
      </c>
      <c r="H266" s="14">
        <v>35.0</v>
      </c>
      <c r="I266" s="13"/>
      <c r="J266" s="13" t="s">
        <v>27</v>
      </c>
      <c r="K266" s="13" t="s">
        <v>27</v>
      </c>
      <c r="L266" s="13" t="s">
        <v>27</v>
      </c>
      <c r="M266" s="13" t="s">
        <v>48</v>
      </c>
      <c r="N266" s="13" t="s">
        <v>29</v>
      </c>
      <c r="O266" s="13" t="s">
        <v>30</v>
      </c>
      <c r="P266" s="13" t="s">
        <v>40</v>
      </c>
      <c r="Q266" s="13" t="s">
        <v>30</v>
      </c>
      <c r="R266" s="13" t="s">
        <v>40</v>
      </c>
      <c r="S266" s="13" t="s">
        <v>32</v>
      </c>
      <c r="T266" s="13"/>
      <c r="U266" s="13"/>
    </row>
    <row r="267">
      <c r="A267" s="13" t="s">
        <v>802</v>
      </c>
      <c r="B267" s="13" t="s">
        <v>803</v>
      </c>
      <c r="C267" s="14">
        <v>8.9297011977E10</v>
      </c>
      <c r="D267" s="13" t="s">
        <v>52</v>
      </c>
      <c r="E267" s="13" t="s">
        <v>322</v>
      </c>
      <c r="F267" s="13" t="s">
        <v>202</v>
      </c>
      <c r="G267" s="13" t="s">
        <v>26</v>
      </c>
      <c r="H267" s="14">
        <v>31.0</v>
      </c>
      <c r="I267" s="13"/>
      <c r="J267" s="13" t="s">
        <v>27</v>
      </c>
      <c r="K267" s="13" t="s">
        <v>48</v>
      </c>
      <c r="L267" s="13" t="s">
        <v>27</v>
      </c>
      <c r="M267" s="13" t="s">
        <v>27</v>
      </c>
      <c r="N267" s="13" t="s">
        <v>40</v>
      </c>
      <c r="O267" s="13" t="s">
        <v>32</v>
      </c>
      <c r="P267" s="13"/>
      <c r="Q267" s="13"/>
      <c r="R267" s="13" t="s">
        <v>29</v>
      </c>
      <c r="S267" s="13" t="s">
        <v>30</v>
      </c>
      <c r="T267" s="13" t="s">
        <v>40</v>
      </c>
      <c r="U267" s="13" t="s">
        <v>30</v>
      </c>
    </row>
    <row r="268">
      <c r="A268" s="13" t="s">
        <v>804</v>
      </c>
      <c r="B268" s="20" t="s">
        <v>805</v>
      </c>
      <c r="C268" s="14">
        <v>8.9163257752E10</v>
      </c>
      <c r="D268" s="13" t="s">
        <v>52</v>
      </c>
      <c r="E268" s="13" t="s">
        <v>806</v>
      </c>
      <c r="F268" s="13" t="s">
        <v>807</v>
      </c>
      <c r="G268" s="13" t="s">
        <v>26</v>
      </c>
      <c r="H268" s="14">
        <v>36.0</v>
      </c>
      <c r="I268" s="13"/>
      <c r="J268" s="13" t="s">
        <v>27</v>
      </c>
      <c r="K268" s="13" t="s">
        <v>48</v>
      </c>
      <c r="L268" s="13" t="s">
        <v>27</v>
      </c>
      <c r="M268" s="13" t="s">
        <v>48</v>
      </c>
      <c r="N268" s="13" t="s">
        <v>31</v>
      </c>
      <c r="O268" s="13" t="s">
        <v>30</v>
      </c>
      <c r="P268" s="13"/>
      <c r="Q268" s="13"/>
      <c r="R268" s="13" t="s">
        <v>31</v>
      </c>
      <c r="S268" s="13" t="s">
        <v>32</v>
      </c>
      <c r="T268" s="13"/>
      <c r="U268" s="13"/>
    </row>
    <row r="269">
      <c r="A269" s="13" t="s">
        <v>808</v>
      </c>
      <c r="B269" s="20" t="s">
        <v>809</v>
      </c>
      <c r="C269" s="14">
        <v>8.9172330073E10</v>
      </c>
      <c r="D269" s="13" t="s">
        <v>23</v>
      </c>
      <c r="E269" s="13" t="s">
        <v>810</v>
      </c>
      <c r="F269" s="13" t="s">
        <v>98</v>
      </c>
      <c r="G269" s="13" t="s">
        <v>26</v>
      </c>
      <c r="H269" s="14">
        <v>50.0</v>
      </c>
      <c r="I269" s="13"/>
      <c r="J269" s="13" t="s">
        <v>27</v>
      </c>
      <c r="K269" s="13" t="s">
        <v>48</v>
      </c>
      <c r="L269" s="13" t="s">
        <v>27</v>
      </c>
      <c r="M269" s="13" t="s">
        <v>48</v>
      </c>
      <c r="N269" s="13" t="s">
        <v>40</v>
      </c>
      <c r="O269" s="13" t="s">
        <v>32</v>
      </c>
      <c r="P269" s="13"/>
      <c r="Q269" s="13"/>
      <c r="R269" s="13" t="s">
        <v>29</v>
      </c>
      <c r="S269" s="13" t="s">
        <v>31</v>
      </c>
      <c r="T269" s="13"/>
      <c r="U269" s="13"/>
    </row>
    <row r="270">
      <c r="A270" s="13" t="s">
        <v>811</v>
      </c>
      <c r="B270" s="20" t="s">
        <v>812</v>
      </c>
      <c r="C270" s="14">
        <v>8.9528116263E10</v>
      </c>
      <c r="D270" s="13" t="s">
        <v>23</v>
      </c>
      <c r="E270" s="13" t="s">
        <v>520</v>
      </c>
      <c r="F270" s="13" t="s">
        <v>521</v>
      </c>
      <c r="G270" s="13" t="s">
        <v>26</v>
      </c>
      <c r="H270" s="14">
        <v>30.0</v>
      </c>
      <c r="I270" s="13"/>
      <c r="J270" s="13" t="s">
        <v>27</v>
      </c>
      <c r="K270" s="13" t="s">
        <v>48</v>
      </c>
      <c r="L270" s="13" t="s">
        <v>39</v>
      </c>
      <c r="M270" s="13" t="s">
        <v>27</v>
      </c>
      <c r="N270" s="13" t="s">
        <v>29</v>
      </c>
      <c r="O270" s="13" t="s">
        <v>30</v>
      </c>
      <c r="P270" s="13"/>
      <c r="Q270" s="13"/>
      <c r="R270" s="13"/>
      <c r="S270" s="13"/>
      <c r="T270" s="13" t="s">
        <v>29</v>
      </c>
      <c r="U270" s="13" t="s">
        <v>30</v>
      </c>
    </row>
    <row r="271">
      <c r="A271" s="13" t="s">
        <v>813</v>
      </c>
      <c r="B271" s="20" t="s">
        <v>814</v>
      </c>
      <c r="C271" s="14">
        <v>8.9117510406E10</v>
      </c>
      <c r="D271" s="13" t="s">
        <v>52</v>
      </c>
      <c r="E271" s="13" t="s">
        <v>144</v>
      </c>
      <c r="F271" s="13" t="s">
        <v>144</v>
      </c>
      <c r="G271" s="13" t="s">
        <v>38</v>
      </c>
      <c r="H271" s="14">
        <v>31.0</v>
      </c>
      <c r="I271" s="13"/>
      <c r="J271" s="13" t="s">
        <v>39</v>
      </c>
      <c r="K271" s="13" t="s">
        <v>27</v>
      </c>
      <c r="L271" s="13" t="s">
        <v>27</v>
      </c>
      <c r="M271" s="13" t="s">
        <v>27</v>
      </c>
      <c r="N271" s="13"/>
      <c r="O271" s="13"/>
      <c r="P271" s="13" t="s">
        <v>40</v>
      </c>
      <c r="Q271" s="13" t="s">
        <v>32</v>
      </c>
      <c r="R271" s="13" t="s">
        <v>29</v>
      </c>
      <c r="S271" s="13" t="s">
        <v>31</v>
      </c>
      <c r="T271" s="13" t="s">
        <v>40</v>
      </c>
      <c r="U271" s="13" t="s">
        <v>32</v>
      </c>
    </row>
    <row r="272">
      <c r="A272" s="13" t="s">
        <v>815</v>
      </c>
      <c r="B272" s="20" t="s">
        <v>816</v>
      </c>
      <c r="C272" s="14">
        <v>8.9969299302E10</v>
      </c>
      <c r="D272" s="13" t="s">
        <v>52</v>
      </c>
      <c r="E272" s="13" t="s">
        <v>161</v>
      </c>
      <c r="F272" s="13" t="s">
        <v>144</v>
      </c>
      <c r="G272" s="13" t="s">
        <v>26</v>
      </c>
      <c r="H272" s="14">
        <v>25.0</v>
      </c>
      <c r="I272" s="13"/>
      <c r="J272" s="13" t="s">
        <v>27</v>
      </c>
      <c r="K272" s="13" t="s">
        <v>27</v>
      </c>
      <c r="L272" s="13" t="s">
        <v>27</v>
      </c>
      <c r="M272" s="13" t="s">
        <v>27</v>
      </c>
      <c r="N272" s="13" t="s">
        <v>29</v>
      </c>
      <c r="O272" s="13" t="s">
        <v>30</v>
      </c>
      <c r="P272" s="13" t="s">
        <v>29</v>
      </c>
      <c r="Q272" s="13" t="s">
        <v>30</v>
      </c>
      <c r="R272" s="13" t="s">
        <v>29</v>
      </c>
      <c r="S272" s="13" t="s">
        <v>31</v>
      </c>
      <c r="T272" s="13" t="s">
        <v>29</v>
      </c>
      <c r="U272" s="13" t="s">
        <v>30</v>
      </c>
    </row>
    <row r="273">
      <c r="A273" s="13" t="s">
        <v>817</v>
      </c>
      <c r="B273" s="13"/>
      <c r="C273" s="13"/>
      <c r="D273" s="13"/>
      <c r="E273" s="13"/>
      <c r="F273" s="13"/>
      <c r="G273" s="13"/>
      <c r="H273" s="13"/>
      <c r="I273" s="13"/>
      <c r="J273" s="13" t="s">
        <v>28</v>
      </c>
      <c r="K273" s="13" t="s">
        <v>27</v>
      </c>
      <c r="L273" s="13" t="s">
        <v>28</v>
      </c>
      <c r="M273" s="13" t="s">
        <v>28</v>
      </c>
      <c r="N273" s="13"/>
      <c r="O273" s="13"/>
      <c r="P273" s="13" t="s">
        <v>29</v>
      </c>
      <c r="Q273" s="13" t="s">
        <v>31</v>
      </c>
      <c r="R273" s="13"/>
      <c r="S273" s="13"/>
      <c r="T273" s="13"/>
      <c r="U273" s="13"/>
    </row>
    <row r="274">
      <c r="A274" s="13" t="s">
        <v>818</v>
      </c>
      <c r="B274" s="13" t="s">
        <v>819</v>
      </c>
      <c r="C274" s="14">
        <v>8.9200724242E10</v>
      </c>
      <c r="D274" s="13" t="s">
        <v>23</v>
      </c>
      <c r="E274" s="13" t="s">
        <v>820</v>
      </c>
      <c r="F274" s="13" t="s">
        <v>821</v>
      </c>
      <c r="G274" s="13" t="s">
        <v>26</v>
      </c>
      <c r="H274" s="14">
        <v>33.0</v>
      </c>
      <c r="I274" s="32">
        <f t="shared" ref="I274:I281" si="13">COUNTIF(J274:M274, "Да, являюсь клиентом банка более полугода") + COUNTIF(J274:M274, "Да, являюсь клиентом банка менее полугода")</f>
        <v>0</v>
      </c>
      <c r="J274" s="13" t="s">
        <v>27</v>
      </c>
      <c r="K274" s="13" t="s">
        <v>27</v>
      </c>
      <c r="L274" s="13" t="s">
        <v>27</v>
      </c>
      <c r="M274" s="13" t="s">
        <v>27</v>
      </c>
      <c r="N274" s="13" t="s">
        <v>29</v>
      </c>
      <c r="O274" s="13" t="s">
        <v>31</v>
      </c>
      <c r="P274" s="13" t="s">
        <v>31</v>
      </c>
      <c r="Q274" s="13" t="s">
        <v>32</v>
      </c>
      <c r="R274" s="25" t="s">
        <v>33</v>
      </c>
      <c r="S274" s="25" t="s">
        <v>33</v>
      </c>
      <c r="T274" s="13" t="s">
        <v>40</v>
      </c>
      <c r="U274" s="13" t="s">
        <v>32</v>
      </c>
    </row>
    <row r="275">
      <c r="A275" s="13" t="s">
        <v>822</v>
      </c>
      <c r="B275" s="13" t="s">
        <v>823</v>
      </c>
      <c r="C275" s="14">
        <v>8.9234342207E10</v>
      </c>
      <c r="D275" s="13" t="s">
        <v>23</v>
      </c>
      <c r="E275" s="13" t="s">
        <v>47</v>
      </c>
      <c r="F275" s="13" t="s">
        <v>47</v>
      </c>
      <c r="G275" s="13" t="s">
        <v>26</v>
      </c>
      <c r="H275" s="14">
        <v>39.0</v>
      </c>
      <c r="I275" s="32">
        <f t="shared" si="13"/>
        <v>0</v>
      </c>
      <c r="J275" s="13" t="s">
        <v>27</v>
      </c>
      <c r="K275" s="13" t="s">
        <v>27</v>
      </c>
      <c r="L275" s="13" t="s">
        <v>28</v>
      </c>
      <c r="M275" s="13" t="s">
        <v>27</v>
      </c>
      <c r="N275" s="13" t="s">
        <v>29</v>
      </c>
      <c r="O275" s="13" t="s">
        <v>31</v>
      </c>
      <c r="P275" s="13" t="s">
        <v>29</v>
      </c>
      <c r="Q275" s="13" t="s">
        <v>30</v>
      </c>
      <c r="R275" s="13"/>
      <c r="S275" s="13"/>
      <c r="T275" s="13" t="s">
        <v>29</v>
      </c>
      <c r="U275" s="13" t="s">
        <v>31</v>
      </c>
    </row>
    <row r="276">
      <c r="A276" s="13" t="s">
        <v>824</v>
      </c>
      <c r="B276" s="20" t="s">
        <v>825</v>
      </c>
      <c r="C276" s="14">
        <v>8.9096218624E10</v>
      </c>
      <c r="D276" s="13" t="s">
        <v>23</v>
      </c>
      <c r="E276" s="13" t="s">
        <v>36</v>
      </c>
      <c r="F276" s="13" t="s">
        <v>826</v>
      </c>
      <c r="G276" s="13" t="s">
        <v>26</v>
      </c>
      <c r="H276" s="14">
        <v>33.0</v>
      </c>
      <c r="I276" s="32">
        <f t="shared" si="13"/>
        <v>0</v>
      </c>
      <c r="J276" s="13" t="s">
        <v>28</v>
      </c>
      <c r="K276" s="13" t="s">
        <v>27</v>
      </c>
      <c r="L276" s="13" t="s">
        <v>28</v>
      </c>
      <c r="M276" s="13" t="s">
        <v>28</v>
      </c>
      <c r="N276" s="13"/>
      <c r="O276" s="13"/>
      <c r="P276" s="13" t="s">
        <v>31</v>
      </c>
      <c r="Q276" s="13" t="s">
        <v>32</v>
      </c>
      <c r="R276" s="13"/>
      <c r="S276" s="13"/>
      <c r="T276" s="13"/>
      <c r="U276" s="13"/>
    </row>
    <row r="277">
      <c r="A277" s="13" t="s">
        <v>827</v>
      </c>
      <c r="B277" s="13" t="s">
        <v>828</v>
      </c>
      <c r="C277" s="14">
        <v>8.9204509984E10</v>
      </c>
      <c r="D277" s="13" t="s">
        <v>52</v>
      </c>
      <c r="E277" s="13" t="s">
        <v>121</v>
      </c>
      <c r="F277" s="13" t="s">
        <v>118</v>
      </c>
      <c r="G277" s="13" t="s">
        <v>26</v>
      </c>
      <c r="H277" s="14">
        <v>28.0</v>
      </c>
      <c r="I277" s="32">
        <f t="shared" si="13"/>
        <v>0</v>
      </c>
      <c r="J277" s="13" t="s">
        <v>27</v>
      </c>
      <c r="K277" s="13" t="s">
        <v>48</v>
      </c>
      <c r="L277" s="13" t="s">
        <v>39</v>
      </c>
      <c r="M277" s="13" t="s">
        <v>27</v>
      </c>
      <c r="N277" s="13" t="s">
        <v>29</v>
      </c>
      <c r="O277" s="13" t="s">
        <v>31</v>
      </c>
      <c r="P277" s="13"/>
      <c r="Q277" s="13"/>
      <c r="R277" s="13"/>
      <c r="S277" s="13"/>
      <c r="T277" s="13" t="s">
        <v>31</v>
      </c>
      <c r="U277" s="13" t="s">
        <v>32</v>
      </c>
    </row>
    <row r="278">
      <c r="A278" s="13" t="s">
        <v>829</v>
      </c>
      <c r="B278" s="20" t="s">
        <v>830</v>
      </c>
      <c r="C278" s="14">
        <v>8.9104566777E10</v>
      </c>
      <c r="D278" s="13" t="s">
        <v>23</v>
      </c>
      <c r="E278" s="13" t="s">
        <v>77</v>
      </c>
      <c r="F278" s="13" t="s">
        <v>77</v>
      </c>
      <c r="G278" s="13" t="s">
        <v>26</v>
      </c>
      <c r="H278" s="14">
        <v>38.0</v>
      </c>
      <c r="I278" s="32">
        <f t="shared" si="13"/>
        <v>0</v>
      </c>
      <c r="J278" s="13" t="s">
        <v>48</v>
      </c>
      <c r="K278" s="13" t="s">
        <v>48</v>
      </c>
      <c r="L278" s="13" t="s">
        <v>48</v>
      </c>
      <c r="M278" s="13" t="s">
        <v>27</v>
      </c>
      <c r="N278" s="13"/>
      <c r="O278" s="13"/>
      <c r="P278" s="13"/>
      <c r="Q278" s="13"/>
      <c r="R278" s="13"/>
      <c r="S278" s="13"/>
      <c r="T278" s="13" t="s">
        <v>29</v>
      </c>
      <c r="U278" s="13" t="s">
        <v>30</v>
      </c>
    </row>
    <row r="279">
      <c r="A279" s="13" t="s">
        <v>831</v>
      </c>
      <c r="B279" s="13" t="s">
        <v>832</v>
      </c>
      <c r="C279" s="14">
        <v>8.9171299718E10</v>
      </c>
      <c r="D279" s="13" t="s">
        <v>23</v>
      </c>
      <c r="E279" s="13" t="s">
        <v>322</v>
      </c>
      <c r="F279" s="13" t="s">
        <v>833</v>
      </c>
      <c r="G279" s="13" t="s">
        <v>26</v>
      </c>
      <c r="H279" s="14">
        <v>31.0</v>
      </c>
      <c r="I279" s="32">
        <f t="shared" si="13"/>
        <v>0</v>
      </c>
      <c r="J279" s="13" t="s">
        <v>27</v>
      </c>
      <c r="K279" s="13" t="s">
        <v>48</v>
      </c>
      <c r="L279" s="13" t="s">
        <v>48</v>
      </c>
      <c r="M279" s="13" t="s">
        <v>27</v>
      </c>
      <c r="N279" s="13" t="s">
        <v>29</v>
      </c>
      <c r="O279" s="13" t="s">
        <v>31</v>
      </c>
      <c r="P279" s="13"/>
      <c r="Q279" s="13"/>
      <c r="R279" s="13"/>
      <c r="S279" s="13"/>
      <c r="T279" s="13" t="s">
        <v>29</v>
      </c>
      <c r="U279" s="13" t="s">
        <v>31</v>
      </c>
    </row>
    <row r="280">
      <c r="A280" s="13" t="s">
        <v>834</v>
      </c>
      <c r="B280" s="14">
        <v>8.9871331097E10</v>
      </c>
      <c r="C280" s="14">
        <v>8.9871331097E10</v>
      </c>
      <c r="D280" s="13" t="s">
        <v>23</v>
      </c>
      <c r="E280" s="13" t="s">
        <v>132</v>
      </c>
      <c r="F280" s="13" t="s">
        <v>54</v>
      </c>
      <c r="G280" s="13" t="s">
        <v>26</v>
      </c>
      <c r="H280" s="14">
        <v>42.0</v>
      </c>
      <c r="I280" s="32">
        <f t="shared" si="13"/>
        <v>0</v>
      </c>
      <c r="J280" s="13" t="s">
        <v>27</v>
      </c>
      <c r="K280" s="13" t="s">
        <v>48</v>
      </c>
      <c r="L280" s="13" t="s">
        <v>39</v>
      </c>
      <c r="M280" s="13" t="s">
        <v>27</v>
      </c>
      <c r="N280" s="13" t="s">
        <v>29</v>
      </c>
      <c r="O280" s="13" t="s">
        <v>31</v>
      </c>
      <c r="P280" s="13"/>
      <c r="Q280" s="13"/>
      <c r="R280" s="13"/>
      <c r="S280" s="13"/>
      <c r="T280" s="13" t="s">
        <v>29</v>
      </c>
      <c r="U280" s="13" t="s">
        <v>31</v>
      </c>
    </row>
    <row r="281">
      <c r="A281" s="13" t="s">
        <v>835</v>
      </c>
      <c r="B281" s="13" t="s">
        <v>836</v>
      </c>
      <c r="C281" s="14">
        <v>8.9030394965E10</v>
      </c>
      <c r="D281" s="13" t="s">
        <v>23</v>
      </c>
      <c r="E281" s="13" t="s">
        <v>837</v>
      </c>
      <c r="F281" s="13" t="s">
        <v>838</v>
      </c>
      <c r="G281" s="13" t="s">
        <v>26</v>
      </c>
      <c r="H281" s="14">
        <v>38.0</v>
      </c>
      <c r="I281" s="32">
        <f t="shared" si="13"/>
        <v>0</v>
      </c>
      <c r="J281" s="13" t="s">
        <v>27</v>
      </c>
      <c r="K281" s="13" t="s">
        <v>48</v>
      </c>
      <c r="L281" s="13" t="s">
        <v>39</v>
      </c>
      <c r="M281" s="13" t="s">
        <v>27</v>
      </c>
      <c r="N281" s="13"/>
      <c r="O281" s="13"/>
      <c r="P281" s="13"/>
      <c r="Q281" s="13"/>
      <c r="R281" s="13"/>
      <c r="S281" s="13"/>
      <c r="T281" s="13" t="s">
        <v>29</v>
      </c>
      <c r="U281" s="13" t="s">
        <v>31</v>
      </c>
    </row>
    <row r="282">
      <c r="A282" s="13" t="s">
        <v>839</v>
      </c>
      <c r="B282" s="20" t="s">
        <v>840</v>
      </c>
      <c r="C282" s="14">
        <v>8.9118002969E10</v>
      </c>
      <c r="D282" s="13" t="s">
        <v>23</v>
      </c>
      <c r="E282" s="13" t="s">
        <v>841</v>
      </c>
      <c r="F282" s="13" t="s">
        <v>842</v>
      </c>
      <c r="G282" s="13" t="s">
        <v>38</v>
      </c>
      <c r="H282" s="14">
        <v>33.0</v>
      </c>
      <c r="I282" s="29">
        <v>3.0</v>
      </c>
      <c r="J282" s="13" t="s">
        <v>27</v>
      </c>
      <c r="K282" s="13" t="s">
        <v>27</v>
      </c>
      <c r="L282" s="13" t="s">
        <v>39</v>
      </c>
      <c r="M282" s="13" t="s">
        <v>48</v>
      </c>
      <c r="N282" s="13" t="s">
        <v>31</v>
      </c>
      <c r="O282" s="13" t="s">
        <v>32</v>
      </c>
      <c r="P282" s="13" t="s">
        <v>29</v>
      </c>
      <c r="Q282" s="13" t="s">
        <v>30</v>
      </c>
      <c r="R282" s="13"/>
      <c r="S282" s="13"/>
      <c r="T282" s="13"/>
      <c r="U282" s="13"/>
    </row>
    <row r="283">
      <c r="A283" s="13" t="s">
        <v>843</v>
      </c>
      <c r="B283" s="13" t="s">
        <v>844</v>
      </c>
      <c r="C283" s="14">
        <v>8.9535106484E10</v>
      </c>
      <c r="D283" s="13" t="s">
        <v>23</v>
      </c>
      <c r="E283" s="13" t="s">
        <v>654</v>
      </c>
      <c r="F283" s="13" t="s">
        <v>845</v>
      </c>
      <c r="G283" s="13" t="s">
        <v>38</v>
      </c>
      <c r="H283" s="14">
        <v>40.0</v>
      </c>
      <c r="I283" s="29">
        <v>1.0</v>
      </c>
      <c r="J283" s="13" t="s">
        <v>48</v>
      </c>
      <c r="K283" s="13" t="s">
        <v>27</v>
      </c>
      <c r="L283" s="13" t="s">
        <v>48</v>
      </c>
      <c r="M283" s="13" t="s">
        <v>48</v>
      </c>
      <c r="N283" s="13"/>
      <c r="O283" s="13"/>
      <c r="P283" s="13" t="s">
        <v>29</v>
      </c>
      <c r="Q283" s="13" t="s">
        <v>31</v>
      </c>
      <c r="R283" s="13"/>
      <c r="S283" s="13"/>
      <c r="T283" s="13"/>
      <c r="U283" s="13"/>
    </row>
    <row r="284">
      <c r="A284" s="13" t="s">
        <v>846</v>
      </c>
      <c r="B284" s="13" t="s">
        <v>847</v>
      </c>
      <c r="C284" s="14">
        <v>8.9275585978E10</v>
      </c>
      <c r="D284" s="13" t="s">
        <v>23</v>
      </c>
      <c r="E284" s="13" t="s">
        <v>848</v>
      </c>
      <c r="F284" s="13" t="s">
        <v>73</v>
      </c>
      <c r="G284" s="13" t="s">
        <v>38</v>
      </c>
      <c r="H284" s="14">
        <v>35.0</v>
      </c>
      <c r="I284" s="29">
        <v>1.0</v>
      </c>
      <c r="J284" s="13" t="s">
        <v>48</v>
      </c>
      <c r="K284" s="13" t="s">
        <v>27</v>
      </c>
      <c r="L284" s="13" t="s">
        <v>48</v>
      </c>
      <c r="M284" s="13" t="s">
        <v>48</v>
      </c>
      <c r="N284" s="13"/>
      <c r="O284" s="13"/>
      <c r="P284" s="13" t="s">
        <v>29</v>
      </c>
      <c r="Q284" s="13" t="s">
        <v>31</v>
      </c>
      <c r="R284" s="13"/>
      <c r="S284" s="13"/>
      <c r="T284" s="13"/>
      <c r="U284" s="13"/>
    </row>
    <row r="285">
      <c r="A285" s="13" t="s">
        <v>849</v>
      </c>
      <c r="B285" s="13" t="s">
        <v>850</v>
      </c>
      <c r="C285" s="14">
        <v>8.908798605E10</v>
      </c>
      <c r="D285" s="13" t="s">
        <v>23</v>
      </c>
      <c r="E285" s="13" t="s">
        <v>851</v>
      </c>
      <c r="F285" s="13" t="s">
        <v>610</v>
      </c>
      <c r="G285" s="13" t="s">
        <v>38</v>
      </c>
      <c r="H285" s="14">
        <v>19.0</v>
      </c>
      <c r="I285" s="29">
        <v>1.0</v>
      </c>
      <c r="J285" s="13" t="s">
        <v>48</v>
      </c>
      <c r="K285" s="13" t="s">
        <v>27</v>
      </c>
      <c r="L285" s="13" t="s">
        <v>48</v>
      </c>
      <c r="M285" s="13" t="s">
        <v>48</v>
      </c>
      <c r="N285" s="13"/>
      <c r="O285" s="13"/>
      <c r="P285" s="13" t="s">
        <v>29</v>
      </c>
      <c r="Q285" s="13" t="s">
        <v>31</v>
      </c>
      <c r="R285" s="13"/>
      <c r="S285" s="13"/>
      <c r="T285" s="13"/>
      <c r="U285" s="13"/>
    </row>
    <row r="286">
      <c r="A286" s="13" t="s">
        <v>852</v>
      </c>
      <c r="B286" s="13" t="s">
        <v>853</v>
      </c>
      <c r="C286" s="14">
        <v>8.9021513908E10</v>
      </c>
      <c r="D286" s="13" t="s">
        <v>23</v>
      </c>
      <c r="E286" s="13" t="s">
        <v>452</v>
      </c>
      <c r="F286" s="13" t="s">
        <v>290</v>
      </c>
      <c r="G286" s="13" t="s">
        <v>26</v>
      </c>
      <c r="H286" s="14">
        <v>37.0</v>
      </c>
      <c r="I286" s="29">
        <v>1.0</v>
      </c>
      <c r="J286" s="13" t="s">
        <v>48</v>
      </c>
      <c r="K286" s="13" t="s">
        <v>27</v>
      </c>
      <c r="L286" s="13" t="s">
        <v>48</v>
      </c>
      <c r="M286" s="13" t="s">
        <v>48</v>
      </c>
      <c r="N286" s="13"/>
      <c r="O286" s="13"/>
      <c r="P286" s="13" t="s">
        <v>31</v>
      </c>
      <c r="Q286" s="13" t="s">
        <v>32</v>
      </c>
      <c r="R286" s="13"/>
      <c r="S286" s="13"/>
      <c r="T286" s="13"/>
      <c r="U286" s="13"/>
    </row>
    <row r="287">
      <c r="A287" s="13" t="s">
        <v>854</v>
      </c>
      <c r="B287" s="13" t="s">
        <v>855</v>
      </c>
      <c r="C287" s="14">
        <v>8.9226196692E10</v>
      </c>
      <c r="D287" s="13" t="s">
        <v>23</v>
      </c>
      <c r="E287" s="13" t="s">
        <v>452</v>
      </c>
      <c r="F287" s="13" t="s">
        <v>290</v>
      </c>
      <c r="G287" s="13" t="s">
        <v>26</v>
      </c>
      <c r="H287" s="14">
        <v>30.0</v>
      </c>
      <c r="I287" s="29">
        <v>3.0</v>
      </c>
      <c r="J287" s="13" t="s">
        <v>27</v>
      </c>
      <c r="K287" s="13" t="s">
        <v>27</v>
      </c>
      <c r="L287" s="13" t="s">
        <v>39</v>
      </c>
      <c r="M287" s="13" t="s">
        <v>48</v>
      </c>
      <c r="N287" s="13" t="s">
        <v>29</v>
      </c>
      <c r="O287" s="13" t="s">
        <v>31</v>
      </c>
      <c r="P287" s="13" t="s">
        <v>29</v>
      </c>
      <c r="Q287" s="13" t="s">
        <v>31</v>
      </c>
      <c r="R287" s="13"/>
      <c r="S287" s="13"/>
      <c r="T287" s="13"/>
      <c r="U287" s="13"/>
    </row>
    <row r="288">
      <c r="A288" s="13" t="s">
        <v>856</v>
      </c>
      <c r="B288" s="20" t="s">
        <v>857</v>
      </c>
      <c r="C288" s="14">
        <v>8.9637337237E10</v>
      </c>
      <c r="D288" s="13" t="s">
        <v>23</v>
      </c>
      <c r="E288" s="13" t="s">
        <v>36</v>
      </c>
      <c r="F288" s="13" t="s">
        <v>858</v>
      </c>
      <c r="G288" s="13" t="s">
        <v>26</v>
      </c>
      <c r="H288" s="14">
        <v>27.0</v>
      </c>
      <c r="I288" s="29">
        <v>3.0</v>
      </c>
      <c r="J288" s="13" t="s">
        <v>27</v>
      </c>
      <c r="K288" s="13" t="s">
        <v>27</v>
      </c>
      <c r="L288" s="13" t="s">
        <v>48</v>
      </c>
      <c r="M288" s="13" t="s">
        <v>27</v>
      </c>
      <c r="N288" s="13" t="s">
        <v>31</v>
      </c>
      <c r="O288" s="13" t="s">
        <v>32</v>
      </c>
      <c r="P288" s="13" t="s">
        <v>31</v>
      </c>
      <c r="Q288" s="13" t="s">
        <v>32</v>
      </c>
      <c r="R288" s="13"/>
      <c r="S288" s="13"/>
      <c r="T288" s="13" t="s">
        <v>29</v>
      </c>
      <c r="U288" s="13" t="s">
        <v>31</v>
      </c>
    </row>
    <row r="289">
      <c r="A289" s="13" t="s">
        <v>859</v>
      </c>
      <c r="B289" s="13" t="s">
        <v>860</v>
      </c>
      <c r="C289" s="14">
        <v>8.9529454314E10</v>
      </c>
      <c r="D289" s="13" t="s">
        <v>23</v>
      </c>
      <c r="E289" s="13" t="s">
        <v>861</v>
      </c>
      <c r="F289" s="13" t="s">
        <v>206</v>
      </c>
      <c r="G289" s="13" t="s">
        <v>26</v>
      </c>
      <c r="H289" s="14">
        <v>42.0</v>
      </c>
      <c r="I289" s="33">
        <v>3.0</v>
      </c>
      <c r="J289" s="13" t="s">
        <v>48</v>
      </c>
      <c r="K289" s="13" t="s">
        <v>27</v>
      </c>
      <c r="L289" s="13" t="s">
        <v>39</v>
      </c>
      <c r="M289" s="13" t="s">
        <v>27</v>
      </c>
      <c r="N289" s="13"/>
      <c r="O289" s="13"/>
      <c r="P289" s="13" t="s">
        <v>29</v>
      </c>
      <c r="Q289" s="13" t="s">
        <v>31</v>
      </c>
      <c r="R289" s="13"/>
      <c r="S289" s="13"/>
      <c r="T289" s="13" t="s">
        <v>29</v>
      </c>
      <c r="U289" s="13" t="s">
        <v>30</v>
      </c>
    </row>
    <row r="290">
      <c r="A290" s="13" t="s">
        <v>862</v>
      </c>
      <c r="B290" s="13" t="s">
        <v>863</v>
      </c>
      <c r="C290" s="14">
        <v>8.9033609064E10</v>
      </c>
      <c r="D290" s="13" t="s">
        <v>52</v>
      </c>
      <c r="E290" s="13" t="s">
        <v>864</v>
      </c>
      <c r="F290" s="13" t="s">
        <v>328</v>
      </c>
      <c r="G290" s="13" t="s">
        <v>26</v>
      </c>
      <c r="H290" s="14">
        <v>38.0</v>
      </c>
      <c r="I290" s="14">
        <f t="shared" ref="I290:I305" si="14">COUNTIF(J290:M290, "Да, являюсь клиентом банка более полугода") + COUNTIF(J290:M290, "Да, являюсь клиентом банка менее полугода")</f>
        <v>0</v>
      </c>
      <c r="J290" s="13" t="s">
        <v>48</v>
      </c>
      <c r="K290" s="13" t="s">
        <v>48</v>
      </c>
      <c r="L290" s="13" t="s">
        <v>39</v>
      </c>
      <c r="M290" s="13" t="s">
        <v>27</v>
      </c>
      <c r="N290" s="13"/>
      <c r="O290" s="13"/>
      <c r="P290" s="13"/>
      <c r="Q290" s="13"/>
      <c r="R290" s="13"/>
      <c r="S290" s="13"/>
      <c r="T290" s="13" t="s">
        <v>31</v>
      </c>
      <c r="U290" s="13" t="s">
        <v>32</v>
      </c>
    </row>
    <row r="291">
      <c r="A291" s="13" t="s">
        <v>865</v>
      </c>
      <c r="B291" s="13" t="s">
        <v>866</v>
      </c>
      <c r="C291" s="14">
        <v>8.9041647439E10</v>
      </c>
      <c r="D291" s="13" t="s">
        <v>23</v>
      </c>
      <c r="E291" s="13" t="s">
        <v>452</v>
      </c>
      <c r="F291" s="13" t="s">
        <v>867</v>
      </c>
      <c r="G291" s="13" t="s">
        <v>26</v>
      </c>
      <c r="H291" s="14">
        <v>32.0</v>
      </c>
      <c r="I291" s="14">
        <f t="shared" si="14"/>
        <v>0</v>
      </c>
      <c r="J291" s="13" t="s">
        <v>27</v>
      </c>
      <c r="K291" s="13" t="s">
        <v>48</v>
      </c>
      <c r="L291" s="13" t="s">
        <v>39</v>
      </c>
      <c r="M291" s="13" t="s">
        <v>48</v>
      </c>
      <c r="N291" s="13" t="s">
        <v>29</v>
      </c>
      <c r="O291" s="13" t="s">
        <v>31</v>
      </c>
      <c r="P291" s="13"/>
      <c r="Q291" s="13"/>
      <c r="R291" s="13"/>
      <c r="S291" s="13"/>
      <c r="T291" s="13"/>
      <c r="U291" s="13"/>
    </row>
    <row r="292">
      <c r="A292" s="13" t="s">
        <v>868</v>
      </c>
      <c r="B292" s="13" t="s">
        <v>869</v>
      </c>
      <c r="C292" s="14">
        <v>8.9267889966E10</v>
      </c>
      <c r="D292" s="13" t="s">
        <v>23</v>
      </c>
      <c r="E292" s="13" t="s">
        <v>76</v>
      </c>
      <c r="F292" s="13" t="s">
        <v>76</v>
      </c>
      <c r="G292" s="13" t="s">
        <v>26</v>
      </c>
      <c r="H292" s="14">
        <v>41.0</v>
      </c>
      <c r="I292" s="14">
        <f t="shared" si="14"/>
        <v>0</v>
      </c>
      <c r="J292" s="13" t="s">
        <v>39</v>
      </c>
      <c r="K292" s="13" t="s">
        <v>48</v>
      </c>
      <c r="L292" s="13" t="s">
        <v>39</v>
      </c>
      <c r="M292" s="13" t="s">
        <v>27</v>
      </c>
      <c r="N292" s="13"/>
      <c r="O292" s="13"/>
      <c r="P292" s="13"/>
      <c r="Q292" s="13"/>
      <c r="R292" s="13"/>
      <c r="S292" s="13"/>
      <c r="T292" s="13" t="s">
        <v>31</v>
      </c>
      <c r="U292" s="13" t="s">
        <v>32</v>
      </c>
    </row>
    <row r="293">
      <c r="A293" s="13" t="s">
        <v>870</v>
      </c>
      <c r="B293" s="20" t="s">
        <v>871</v>
      </c>
      <c r="C293" s="14">
        <v>8.9119208862E10</v>
      </c>
      <c r="D293" s="13" t="s">
        <v>23</v>
      </c>
      <c r="E293" s="13" t="s">
        <v>144</v>
      </c>
      <c r="F293" s="13" t="s">
        <v>144</v>
      </c>
      <c r="G293" s="13" t="s">
        <v>38</v>
      </c>
      <c r="H293" s="14">
        <v>42.0</v>
      </c>
      <c r="I293" s="14">
        <f t="shared" si="14"/>
        <v>0</v>
      </c>
      <c r="J293" s="13" t="s">
        <v>39</v>
      </c>
      <c r="K293" s="13" t="s">
        <v>39</v>
      </c>
      <c r="L293" s="13" t="s">
        <v>39</v>
      </c>
      <c r="M293" s="13" t="s">
        <v>27</v>
      </c>
      <c r="N293" s="13"/>
      <c r="O293" s="13"/>
      <c r="P293" s="13"/>
      <c r="Q293" s="13"/>
      <c r="R293" s="13"/>
      <c r="S293" s="13"/>
      <c r="T293" s="13" t="s">
        <v>29</v>
      </c>
      <c r="U293" s="13" t="s">
        <v>31</v>
      </c>
    </row>
    <row r="294">
      <c r="A294" s="13" t="s">
        <v>872</v>
      </c>
      <c r="B294" s="13" t="s">
        <v>873</v>
      </c>
      <c r="C294" s="14">
        <v>8.912766433E10</v>
      </c>
      <c r="D294" s="13" t="s">
        <v>23</v>
      </c>
      <c r="E294" s="13" t="s">
        <v>180</v>
      </c>
      <c r="F294" s="13" t="s">
        <v>625</v>
      </c>
      <c r="G294" s="13" t="s">
        <v>26</v>
      </c>
      <c r="H294" s="14">
        <v>40.0</v>
      </c>
      <c r="I294" s="14">
        <f t="shared" si="14"/>
        <v>0</v>
      </c>
      <c r="J294" s="13" t="s">
        <v>27</v>
      </c>
      <c r="K294" s="13" t="s">
        <v>27</v>
      </c>
      <c r="L294" s="13" t="s">
        <v>39</v>
      </c>
      <c r="M294" s="13" t="s">
        <v>27</v>
      </c>
      <c r="N294" s="13" t="s">
        <v>29</v>
      </c>
      <c r="O294" s="13" t="s">
        <v>31</v>
      </c>
      <c r="P294" s="13" t="s">
        <v>29</v>
      </c>
      <c r="Q294" s="13" t="s">
        <v>30</v>
      </c>
      <c r="R294" s="13"/>
      <c r="S294" s="13"/>
      <c r="T294" s="13" t="s">
        <v>29</v>
      </c>
      <c r="U294" s="13" t="s">
        <v>31</v>
      </c>
    </row>
    <row r="295">
      <c r="A295" s="13" t="s">
        <v>874</v>
      </c>
      <c r="B295" s="13" t="s">
        <v>875</v>
      </c>
      <c r="C295" s="14">
        <v>8.9219672734E10</v>
      </c>
      <c r="D295" s="13" t="s">
        <v>23</v>
      </c>
      <c r="E295" s="13" t="s">
        <v>161</v>
      </c>
      <c r="F295" s="13" t="s">
        <v>161</v>
      </c>
      <c r="G295" s="13" t="s">
        <v>26</v>
      </c>
      <c r="H295" s="14">
        <v>49.0</v>
      </c>
      <c r="I295" s="32">
        <f t="shared" si="14"/>
        <v>0</v>
      </c>
      <c r="J295" s="13" t="s">
        <v>27</v>
      </c>
      <c r="K295" s="13" t="s">
        <v>48</v>
      </c>
      <c r="L295" s="13" t="s">
        <v>48</v>
      </c>
      <c r="M295" s="13" t="s">
        <v>27</v>
      </c>
      <c r="N295" s="13" t="s">
        <v>29</v>
      </c>
      <c r="O295" s="13" t="s">
        <v>31</v>
      </c>
      <c r="P295" s="13"/>
      <c r="Q295" s="13"/>
      <c r="R295" s="13"/>
      <c r="S295" s="13"/>
      <c r="T295" s="13" t="s">
        <v>29</v>
      </c>
      <c r="U295" s="13" t="s">
        <v>31</v>
      </c>
    </row>
    <row r="296">
      <c r="A296" s="13" t="s">
        <v>876</v>
      </c>
      <c r="B296" s="13" t="s">
        <v>877</v>
      </c>
      <c r="C296" s="14">
        <v>8.9235219706E10</v>
      </c>
      <c r="D296" s="13" t="s">
        <v>23</v>
      </c>
      <c r="E296" s="13" t="s">
        <v>878</v>
      </c>
      <c r="F296" s="13" t="s">
        <v>879</v>
      </c>
      <c r="G296" s="13" t="s">
        <v>26</v>
      </c>
      <c r="H296" s="14">
        <v>23.0</v>
      </c>
      <c r="I296" s="14">
        <f t="shared" si="14"/>
        <v>0</v>
      </c>
      <c r="J296" s="13" t="s">
        <v>27</v>
      </c>
      <c r="K296" s="13" t="s">
        <v>27</v>
      </c>
      <c r="L296" s="13" t="s">
        <v>39</v>
      </c>
      <c r="M296" s="13" t="s">
        <v>27</v>
      </c>
      <c r="N296" s="13" t="s">
        <v>29</v>
      </c>
      <c r="O296" s="13" t="s">
        <v>31</v>
      </c>
      <c r="P296" s="13" t="s">
        <v>29</v>
      </c>
      <c r="Q296" s="13" t="s">
        <v>31</v>
      </c>
      <c r="R296" s="13"/>
      <c r="S296" s="13"/>
      <c r="T296" s="13" t="s">
        <v>29</v>
      </c>
      <c r="U296" s="13" t="s">
        <v>31</v>
      </c>
    </row>
    <row r="297">
      <c r="A297" s="13" t="s">
        <v>880</v>
      </c>
      <c r="B297" s="13" t="s">
        <v>881</v>
      </c>
      <c r="C297" s="14">
        <v>8.9513761868E10</v>
      </c>
      <c r="D297" s="13" t="s">
        <v>23</v>
      </c>
      <c r="E297" s="13" t="s">
        <v>252</v>
      </c>
      <c r="F297" s="13" t="s">
        <v>213</v>
      </c>
      <c r="G297" s="13" t="s">
        <v>26</v>
      </c>
      <c r="H297" s="14">
        <v>21.0</v>
      </c>
      <c r="I297" s="14">
        <f t="shared" si="14"/>
        <v>0</v>
      </c>
      <c r="J297" s="13" t="s">
        <v>27</v>
      </c>
      <c r="K297" s="13" t="s">
        <v>39</v>
      </c>
      <c r="L297" s="13" t="s">
        <v>39</v>
      </c>
      <c r="M297" s="13" t="s">
        <v>27</v>
      </c>
      <c r="N297" s="13" t="s">
        <v>29</v>
      </c>
      <c r="O297" s="13" t="s">
        <v>31</v>
      </c>
      <c r="P297" s="13"/>
      <c r="Q297" s="13"/>
      <c r="R297" s="13"/>
      <c r="S297" s="13"/>
      <c r="T297" s="13" t="s">
        <v>31</v>
      </c>
      <c r="U297" s="13" t="s">
        <v>32</v>
      </c>
    </row>
    <row r="298">
      <c r="A298" s="13" t="s">
        <v>882</v>
      </c>
      <c r="B298" s="13" t="s">
        <v>883</v>
      </c>
      <c r="C298" s="14">
        <v>8.965228295E10</v>
      </c>
      <c r="D298" s="13" t="s">
        <v>23</v>
      </c>
      <c r="E298" s="13" t="s">
        <v>77</v>
      </c>
      <c r="F298" s="13" t="s">
        <v>77</v>
      </c>
      <c r="G298" s="13" t="s">
        <v>38</v>
      </c>
      <c r="H298" s="14">
        <v>39.0</v>
      </c>
      <c r="I298" s="14">
        <f t="shared" si="14"/>
        <v>0</v>
      </c>
      <c r="J298" s="13" t="s">
        <v>39</v>
      </c>
      <c r="K298" s="13" t="s">
        <v>39</v>
      </c>
      <c r="L298" s="13" t="s">
        <v>39</v>
      </c>
      <c r="M298" s="13" t="s">
        <v>27</v>
      </c>
      <c r="N298" s="13"/>
      <c r="O298" s="13"/>
      <c r="P298" s="13"/>
      <c r="Q298" s="13"/>
      <c r="R298" s="13"/>
      <c r="S298" s="13"/>
      <c r="T298" s="13" t="s">
        <v>29</v>
      </c>
      <c r="U298" s="13" t="s">
        <v>31</v>
      </c>
    </row>
    <row r="299">
      <c r="A299" s="13" t="s">
        <v>884</v>
      </c>
      <c r="B299" s="13" t="s">
        <v>885</v>
      </c>
      <c r="C299" s="14">
        <v>8.9514944126E10</v>
      </c>
      <c r="D299" s="13" t="s">
        <v>52</v>
      </c>
      <c r="E299" s="13" t="s">
        <v>886</v>
      </c>
      <c r="F299" s="13" t="s">
        <v>887</v>
      </c>
      <c r="G299" s="13" t="s">
        <v>26</v>
      </c>
      <c r="H299" s="14">
        <v>21.0</v>
      </c>
      <c r="I299" s="14">
        <f t="shared" si="14"/>
        <v>0</v>
      </c>
      <c r="J299" s="13" t="s">
        <v>39</v>
      </c>
      <c r="K299" s="13" t="s">
        <v>27</v>
      </c>
      <c r="L299" s="13" t="s">
        <v>39</v>
      </c>
      <c r="M299" s="13" t="s">
        <v>27</v>
      </c>
      <c r="N299" s="13"/>
      <c r="O299" s="13"/>
      <c r="P299" s="13" t="s">
        <v>29</v>
      </c>
      <c r="Q299" s="13" t="s">
        <v>30</v>
      </c>
      <c r="R299" s="13"/>
      <c r="S299" s="13"/>
      <c r="T299" s="13" t="s">
        <v>31</v>
      </c>
      <c r="U299" s="13" t="s">
        <v>32</v>
      </c>
    </row>
    <row r="300">
      <c r="A300" s="13" t="s">
        <v>888</v>
      </c>
      <c r="B300" s="13" t="s">
        <v>889</v>
      </c>
      <c r="C300" s="14">
        <v>8.9035825849E10</v>
      </c>
      <c r="D300" s="13" t="s">
        <v>23</v>
      </c>
      <c r="E300" s="13" t="s">
        <v>205</v>
      </c>
      <c r="F300" s="13" t="s">
        <v>77</v>
      </c>
      <c r="G300" s="13" t="s">
        <v>26</v>
      </c>
      <c r="H300" s="14">
        <v>45.0</v>
      </c>
      <c r="I300" s="14">
        <f t="shared" si="14"/>
        <v>0</v>
      </c>
      <c r="J300" s="13" t="s">
        <v>27</v>
      </c>
      <c r="K300" s="13" t="s">
        <v>48</v>
      </c>
      <c r="L300" s="13" t="s">
        <v>48</v>
      </c>
      <c r="M300" s="13" t="s">
        <v>48</v>
      </c>
      <c r="N300" s="13" t="s">
        <v>29</v>
      </c>
      <c r="O300" s="13" t="s">
        <v>31</v>
      </c>
      <c r="P300" s="13"/>
      <c r="Q300" s="13"/>
      <c r="R300" s="13"/>
      <c r="S300" s="13"/>
      <c r="T300" s="13"/>
      <c r="U300" s="13"/>
    </row>
    <row r="301">
      <c r="A301" s="13" t="s">
        <v>890</v>
      </c>
      <c r="B301" s="13" t="s">
        <v>891</v>
      </c>
      <c r="C301" s="14">
        <v>8.924117729E10</v>
      </c>
      <c r="D301" s="13" t="s">
        <v>23</v>
      </c>
      <c r="E301" s="13" t="s">
        <v>892</v>
      </c>
      <c r="F301" s="13" t="s">
        <v>893</v>
      </c>
      <c r="G301" s="13" t="s">
        <v>26</v>
      </c>
      <c r="H301" s="14">
        <v>50.0</v>
      </c>
      <c r="I301" s="32">
        <f t="shared" si="14"/>
        <v>0</v>
      </c>
      <c r="J301" s="13" t="s">
        <v>39</v>
      </c>
      <c r="K301" s="13" t="s">
        <v>48</v>
      </c>
      <c r="L301" s="13" t="s">
        <v>48</v>
      </c>
      <c r="M301" s="13" t="s">
        <v>27</v>
      </c>
      <c r="N301" s="13"/>
      <c r="O301" s="13"/>
      <c r="P301" s="13"/>
      <c r="Q301" s="13"/>
      <c r="R301" s="13"/>
      <c r="S301" s="13"/>
      <c r="T301" s="13" t="s">
        <v>31</v>
      </c>
      <c r="U301" s="13" t="s">
        <v>32</v>
      </c>
    </row>
    <row r="302">
      <c r="A302" s="13" t="s">
        <v>894</v>
      </c>
      <c r="B302" s="13" t="s">
        <v>895</v>
      </c>
      <c r="C302" s="14">
        <v>8.9261469463E10</v>
      </c>
      <c r="D302" s="13" t="s">
        <v>23</v>
      </c>
      <c r="E302" s="13" t="s">
        <v>77</v>
      </c>
      <c r="F302" s="13" t="s">
        <v>77</v>
      </c>
      <c r="G302" s="13" t="s">
        <v>26</v>
      </c>
      <c r="H302" s="14">
        <v>41.0</v>
      </c>
      <c r="I302" s="14">
        <f t="shared" si="14"/>
        <v>0</v>
      </c>
      <c r="J302" s="13" t="s">
        <v>39</v>
      </c>
      <c r="K302" s="13" t="s">
        <v>27</v>
      </c>
      <c r="L302" s="13" t="s">
        <v>39</v>
      </c>
      <c r="M302" s="13" t="s">
        <v>48</v>
      </c>
      <c r="N302" s="13"/>
      <c r="O302" s="13"/>
      <c r="P302" s="13" t="s">
        <v>29</v>
      </c>
      <c r="Q302" s="13" t="s">
        <v>31</v>
      </c>
      <c r="R302" s="13"/>
      <c r="S302" s="13"/>
      <c r="T302" s="13"/>
      <c r="U302" s="13"/>
    </row>
    <row r="303">
      <c r="A303" s="13" t="s">
        <v>896</v>
      </c>
      <c r="B303" s="13" t="s">
        <v>897</v>
      </c>
      <c r="C303" s="14">
        <v>8.9278333779E10</v>
      </c>
      <c r="D303" s="13" t="s">
        <v>52</v>
      </c>
      <c r="E303" s="13" t="s">
        <v>554</v>
      </c>
      <c r="F303" s="13" t="s">
        <v>372</v>
      </c>
      <c r="G303" s="13" t="s">
        <v>26</v>
      </c>
      <c r="H303" s="14">
        <v>30.0</v>
      </c>
      <c r="I303" s="14">
        <f t="shared" si="14"/>
        <v>0</v>
      </c>
      <c r="J303" s="13" t="s">
        <v>39</v>
      </c>
      <c r="K303" s="13" t="s">
        <v>27</v>
      </c>
      <c r="L303" s="13" t="s">
        <v>39</v>
      </c>
      <c r="M303" s="13" t="s">
        <v>27</v>
      </c>
      <c r="N303" s="13"/>
      <c r="O303" s="13"/>
      <c r="P303" s="13" t="s">
        <v>29</v>
      </c>
      <c r="Q303" s="13" t="s">
        <v>30</v>
      </c>
      <c r="R303" s="13"/>
      <c r="S303" s="13"/>
      <c r="T303" s="13" t="s">
        <v>29</v>
      </c>
      <c r="U303" s="13" t="s">
        <v>31</v>
      </c>
    </row>
    <row r="304">
      <c r="A304" s="13" t="s">
        <v>898</v>
      </c>
      <c r="B304" s="13" t="s">
        <v>899</v>
      </c>
      <c r="C304" s="14">
        <v>8.9647671522E10</v>
      </c>
      <c r="D304" s="13" t="s">
        <v>23</v>
      </c>
      <c r="E304" s="13" t="s">
        <v>77</v>
      </c>
      <c r="F304" s="13" t="s">
        <v>77</v>
      </c>
      <c r="G304" s="13" t="s">
        <v>38</v>
      </c>
      <c r="H304" s="14">
        <v>32.0</v>
      </c>
      <c r="I304" s="32">
        <f t="shared" si="14"/>
        <v>0</v>
      </c>
      <c r="J304" s="13" t="s">
        <v>39</v>
      </c>
      <c r="K304" s="13" t="s">
        <v>27</v>
      </c>
      <c r="L304" s="13" t="s">
        <v>39</v>
      </c>
      <c r="M304" s="13" t="s">
        <v>27</v>
      </c>
      <c r="N304" s="13"/>
      <c r="O304" s="13"/>
      <c r="P304" s="13" t="s">
        <v>29</v>
      </c>
      <c r="Q304" s="13" t="s">
        <v>31</v>
      </c>
      <c r="R304" s="13"/>
      <c r="S304" s="13"/>
      <c r="T304" s="13" t="s">
        <v>31</v>
      </c>
      <c r="U304" s="13" t="s">
        <v>32</v>
      </c>
    </row>
    <row r="305">
      <c r="A305" s="13" t="s">
        <v>900</v>
      </c>
      <c r="B305" s="20" t="s">
        <v>901</v>
      </c>
      <c r="C305" s="14">
        <v>8.9048221808E10</v>
      </c>
      <c r="D305" s="13" t="s">
        <v>23</v>
      </c>
      <c r="E305" s="13" t="s">
        <v>851</v>
      </c>
      <c r="F305" s="13" t="s">
        <v>610</v>
      </c>
      <c r="G305" s="13" t="s">
        <v>26</v>
      </c>
      <c r="H305" s="14">
        <v>41.0</v>
      </c>
      <c r="I305" s="32">
        <f t="shared" si="14"/>
        <v>0</v>
      </c>
      <c r="J305" s="13" t="s">
        <v>27</v>
      </c>
      <c r="K305" s="13" t="s">
        <v>27</v>
      </c>
      <c r="L305" s="13" t="s">
        <v>39</v>
      </c>
      <c r="M305" s="13" t="s">
        <v>27</v>
      </c>
      <c r="N305" s="13" t="s">
        <v>29</v>
      </c>
      <c r="O305" s="13" t="s">
        <v>31</v>
      </c>
      <c r="P305" s="13" t="s">
        <v>29</v>
      </c>
      <c r="Q305" s="13" t="s">
        <v>31</v>
      </c>
      <c r="R305" s="13"/>
      <c r="S305" s="13"/>
      <c r="T305" s="13" t="s">
        <v>29</v>
      </c>
      <c r="U305" s="13" t="s">
        <v>31</v>
      </c>
    </row>
  </sheetData>
  <autoFilter ref="$A$1:$AA$305"/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2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  <hyperlink r:id="rId78" ref="B212"/>
    <hyperlink r:id="rId79" ref="B213"/>
    <hyperlink r:id="rId80" ref="B217"/>
    <hyperlink r:id="rId81" ref="B218"/>
    <hyperlink r:id="rId82" ref="B219"/>
    <hyperlink r:id="rId83" ref="B220"/>
    <hyperlink r:id="rId84" ref="B222"/>
    <hyperlink r:id="rId85" ref="B223"/>
    <hyperlink r:id="rId86" ref="B227"/>
    <hyperlink r:id="rId87" ref="B230"/>
    <hyperlink r:id="rId88" ref="B236"/>
    <hyperlink r:id="rId89" ref="B244"/>
    <hyperlink r:id="rId90" ref="B246"/>
    <hyperlink r:id="rId91" ref="B249"/>
    <hyperlink r:id="rId92" ref="B251"/>
    <hyperlink r:id="rId93" ref="B253"/>
    <hyperlink r:id="rId94" ref="B256"/>
    <hyperlink r:id="rId95" ref="B257"/>
    <hyperlink r:id="rId96" ref="B258"/>
    <hyperlink r:id="rId97" ref="B260"/>
    <hyperlink r:id="rId98" ref="B262"/>
    <hyperlink r:id="rId99" ref="B263"/>
    <hyperlink r:id="rId100" ref="B266"/>
    <hyperlink r:id="rId101" ref="B268"/>
    <hyperlink r:id="rId102" ref="B269"/>
    <hyperlink r:id="rId103" ref="B270"/>
    <hyperlink r:id="rId104" ref="B271"/>
    <hyperlink r:id="rId105" ref="B272"/>
    <hyperlink r:id="rId106" ref="B276"/>
    <hyperlink r:id="rId107" ref="B278"/>
    <hyperlink r:id="rId108" ref="B282"/>
    <hyperlink r:id="rId109" ref="B288"/>
    <hyperlink r:id="rId110" ref="B293"/>
    <hyperlink r:id="rId111" ref="B305"/>
  </hyperlinks>
  <drawing r:id="rId11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902</v>
      </c>
      <c r="C1" s="21" t="s">
        <v>903</v>
      </c>
      <c r="D1" s="21" t="s">
        <v>904</v>
      </c>
      <c r="E1" s="21" t="s">
        <v>905</v>
      </c>
    </row>
    <row r="2">
      <c r="A2" s="21" t="s">
        <v>40</v>
      </c>
      <c r="B2" s="34" t="s">
        <v>906</v>
      </c>
      <c r="C2" s="34" t="s">
        <v>907</v>
      </c>
      <c r="D2" s="34" t="s">
        <v>908</v>
      </c>
      <c r="E2" s="34" t="s">
        <v>909</v>
      </c>
    </row>
    <row r="3">
      <c r="A3" s="21" t="s">
        <v>29</v>
      </c>
      <c r="B3" s="35" t="s">
        <v>910</v>
      </c>
      <c r="C3" s="35" t="s">
        <v>911</v>
      </c>
      <c r="D3" s="34" t="s">
        <v>912</v>
      </c>
      <c r="E3" s="34" t="s">
        <v>913</v>
      </c>
    </row>
    <row r="5">
      <c r="A5" s="21" t="s">
        <v>32</v>
      </c>
      <c r="B5" s="34" t="s">
        <v>914</v>
      </c>
      <c r="C5" s="34" t="s">
        <v>915</v>
      </c>
      <c r="D5" s="34" t="s">
        <v>916</v>
      </c>
      <c r="E5" s="34" t="s">
        <v>917</v>
      </c>
    </row>
    <row r="6">
      <c r="A6" s="21" t="s">
        <v>30</v>
      </c>
      <c r="B6" s="34" t="s">
        <v>918</v>
      </c>
      <c r="C6" s="34" t="s">
        <v>919</v>
      </c>
      <c r="D6" s="34" t="s">
        <v>920</v>
      </c>
      <c r="E6" s="34" t="s">
        <v>921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922</v>
      </c>
      <c r="B1" s="21" t="s">
        <v>923</v>
      </c>
    </row>
    <row r="2">
      <c r="A2" s="21" t="s">
        <v>40</v>
      </c>
      <c r="B2" s="21" t="s">
        <v>924</v>
      </c>
    </row>
    <row r="3">
      <c r="A3" s="21" t="s">
        <v>29</v>
      </c>
      <c r="B3" s="21" t="s">
        <v>925</v>
      </c>
    </row>
    <row r="5">
      <c r="A5" s="21" t="s">
        <v>32</v>
      </c>
      <c r="B5" s="21" t="s">
        <v>925</v>
      </c>
    </row>
    <row r="6">
      <c r="A6" s="21" t="s">
        <v>30</v>
      </c>
      <c r="B6" s="21" t="s">
        <v>926</v>
      </c>
    </row>
  </sheetData>
  <drawing r:id="rId1"/>
</worksheet>
</file>