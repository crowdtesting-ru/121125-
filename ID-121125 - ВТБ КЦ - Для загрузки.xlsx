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Max\PycharmProjects\pythonProject40\"/>
    </mc:Choice>
  </mc:AlternateContent>
  <xr:revisionPtr revIDLastSave="0" documentId="13_ncr:1_{9A60EBCC-EBC5-4690-97B1-1F467E3FABB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Отобранные участники" sheetId="1" r:id="rId1"/>
    <sheet name="Ссылки на инструкци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1" l="1"/>
  <c r="I11" i="1"/>
  <c r="I10" i="1"/>
  <c r="I9" i="1"/>
  <c r="I8" i="1"/>
  <c r="X7" i="1"/>
  <c r="I7" i="1"/>
  <c r="X6" i="1"/>
  <c r="I6" i="1"/>
  <c r="X5" i="1"/>
  <c r="I5" i="1"/>
  <c r="X4" i="1"/>
  <c r="I4" i="1"/>
  <c r="I3" i="1"/>
  <c r="I2" i="1"/>
</calcChain>
</file>

<file path=xl/sharedStrings.xml><?xml version="1.0" encoding="utf-8"?>
<sst xmlns="http://schemas.openxmlformats.org/spreadsheetml/2006/main" count="227" uniqueCount="89">
  <si>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</si>
  <si>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</si>
  <si>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</si>
  <si>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</si>
  <si>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</si>
  <si>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</si>
  <si>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</si>
  <si>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</si>
  <si>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</si>
  <si>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</si>
  <si>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</si>
  <si>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</si>
  <si>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</si>
  <si>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</si>
  <si>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</si>
  <si>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</si>
  <si>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</si>
  <si>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</si>
  <si>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</si>
  <si>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</si>
  <si>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Дюжаков Эдуард Андреевич</t>
  </si>
  <si>
    <t>h1don@yandex.ru</t>
  </si>
  <si>
    <t>Android</t>
  </si>
  <si>
    <t>Саратовская область</t>
  </si>
  <si>
    <t>Саратов</t>
  </si>
  <si>
    <t>Мужской</t>
  </si>
  <si>
    <t>Да</t>
  </si>
  <si>
    <t>Нет</t>
  </si>
  <si>
    <t>Сценарий 2</t>
  </si>
  <si>
    <t>Без обращения</t>
  </si>
  <si>
    <t>-</t>
  </si>
  <si>
    <t>Сценарий 1</t>
  </si>
  <si>
    <t>Сценарий 4</t>
  </si>
  <si>
    <t>Кузнецова Екатерина Ильдусовна</t>
  </si>
  <si>
    <t>https://t.me/bagira_marks</t>
  </si>
  <si>
    <t>Самарская область</t>
  </si>
  <si>
    <t>Самара</t>
  </si>
  <si>
    <t>Женский</t>
  </si>
  <si>
    <t>Запас</t>
  </si>
  <si>
    <t>Банк</t>
  </si>
  <si>
    <t>Отобрано участников</t>
  </si>
  <si>
    <t>Нужно участников</t>
  </si>
  <si>
    <t>Лобко Ксения Александровна</t>
  </si>
  <si>
    <t>https://t.me/Kseniaa555</t>
  </si>
  <si>
    <t>iOS</t>
  </si>
  <si>
    <t>Рязань</t>
  </si>
  <si>
    <t>Сценарий 5</t>
  </si>
  <si>
    <t>Всего Сбер</t>
  </si>
  <si>
    <t>Молотков Александр Петрович</t>
  </si>
  <si>
    <t>https://t.me/badya_Sandu</t>
  </si>
  <si>
    <t>Тюменская область</t>
  </si>
  <si>
    <t>Тюмень</t>
  </si>
  <si>
    <t>Всего ВТБ</t>
  </si>
  <si>
    <t>Пустограев Илья Олегович</t>
  </si>
  <si>
    <t>t.me/treger78</t>
  </si>
  <si>
    <t>Всего Т-Банк</t>
  </si>
  <si>
    <t>Алексеев Александр Станиславович</t>
  </si>
  <si>
    <t>@alex_stan</t>
  </si>
  <si>
    <t xml:space="preserve">Москва </t>
  </si>
  <si>
    <t>Москва</t>
  </si>
  <si>
    <t>Всего Альфа-банк</t>
  </si>
  <si>
    <t>Митяева Юлия Сергеевна</t>
  </si>
  <si>
    <t>@liya_1612</t>
  </si>
  <si>
    <t xml:space="preserve">Краснодарский край </t>
  </si>
  <si>
    <t>Тихорецк</t>
  </si>
  <si>
    <t>Гриневич Светлана Александровна</t>
  </si>
  <si>
    <t xml:space="preserve">https://t.me/svetagrinn </t>
  </si>
  <si>
    <t xml:space="preserve">Брянск </t>
  </si>
  <si>
    <t>Абрамян Евгений Григорьевич</t>
  </si>
  <si>
    <t>@kestalf</t>
  </si>
  <si>
    <t>Московская область</t>
  </si>
  <si>
    <t>Балашиха</t>
  </si>
  <si>
    <t>Соповская Юлия Вячеславовна</t>
  </si>
  <si>
    <t>@smetankaone</t>
  </si>
  <si>
    <t>Краснодарский край</t>
  </si>
  <si>
    <t>Краснодар</t>
  </si>
  <si>
    <t>Малахов Артем Алексеевич</t>
  </si>
  <si>
    <t>https://t.me/Artxde</t>
  </si>
  <si>
    <t>Алтайский край</t>
  </si>
  <si>
    <t>Барнаул</t>
  </si>
  <si>
    <t>Сбер</t>
  </si>
  <si>
    <t>ВТБ</t>
  </si>
  <si>
    <t>Т-Банк</t>
  </si>
  <si>
    <t>Альфа-банк</t>
  </si>
  <si>
    <t>ссылка 1</t>
  </si>
  <si>
    <t>ссылка 2</t>
  </si>
  <si>
    <t>ссылка 3</t>
  </si>
  <si>
    <t>ссылка 4</t>
  </si>
  <si>
    <t>Укажите Ваши ФИО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</si>
</sst>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u/>
      <sz val="10"/>
      <color rgb="FF1155CC"/>
      <name val="Arial"/>
    </font>
    <font>
      <sz val="10"/>
      <color theme="1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2" fillId="7" borderId="0" xfId="0" applyFont="1" applyFill="1" applyAlignment="1">
      <alignment wrapText="1"/>
    </xf>
    <xf numFmtId="0" fontId="2" fillId="7" borderId="0" xfId="0" applyFont="1" applyFill="1" applyAlignment="1">
      <alignment wrapText="1"/>
    </xf>
    <xf numFmtId="0" fontId="2" fillId="8" borderId="0" xfId="0" applyFont="1" applyFill="1" applyAlignment="1">
      <alignment wrapText="1"/>
    </xf>
    <xf numFmtId="0" fontId="2" fillId="9" borderId="0" xfId="0" applyFont="1" applyFill="1" applyAlignment="1">
      <alignment wrapText="1"/>
    </xf>
    <xf numFmtId="0" fontId="2" fillId="10" borderId="0" xfId="0" applyFont="1" applyFill="1" applyAlignment="1">
      <alignment wrapText="1"/>
    </xf>
    <xf numFmtId="0" fontId="3" fillId="0" borderId="0" xfId="0" applyFont="1" applyAlignment="1"/>
    <xf numFmtId="0" fontId="3" fillId="0" borderId="0" xfId="0" applyFont="1" applyAlignment="1">
      <alignment horizontal="right"/>
    </xf>
    <xf numFmtId="0" fontId="3" fillId="0" borderId="0" xfId="0" applyFont="1" applyAlignment="1"/>
    <xf numFmtId="0" fontId="3" fillId="11" borderId="0" xfId="0" applyFont="1" applyFill="1" applyAlignment="1"/>
    <xf numFmtId="0" fontId="1" fillId="0" borderId="0" xfId="0" applyFont="1" applyAlignment="1"/>
    <xf numFmtId="0" fontId="4" fillId="0" borderId="0" xfId="0" applyFont="1" applyAlignment="1"/>
    <xf numFmtId="0" fontId="1" fillId="0" borderId="1" xfId="0" applyFont="1" applyBorder="1" applyAlignment="1"/>
    <xf numFmtId="0" fontId="5" fillId="0" borderId="0" xfId="0" applyFont="1" applyAlignment="1"/>
    <xf numFmtId="0" fontId="5" fillId="0" borderId="1" xfId="0" applyFont="1" applyBorder="1" applyAlignment="1"/>
    <xf numFmtId="0" fontId="5" fillId="0" borderId="1" xfId="0" applyFont="1" applyBorder="1"/>
    <xf numFmtId="0" fontId="3" fillId="11" borderId="0" xfId="0" applyFont="1" applyFill="1" applyAlignme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</cellXfs>
  <cellStyles count="1">
    <cellStyle name="Обычный" xfId="0" builtinId="0"/>
  </cellStyles>
  <dxfs count="5"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.me/badya_Sandu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t.me/Kseniaa555" TargetMode="External"/><Relationship Id="rId1" Type="http://schemas.openxmlformats.org/officeDocument/2006/relationships/hyperlink" Target="https://t.me/bagira_marks" TargetMode="External"/><Relationship Id="rId6" Type="http://schemas.openxmlformats.org/officeDocument/2006/relationships/hyperlink" Target="https://t.me/Artxde" TargetMode="External"/><Relationship Id="rId5" Type="http://schemas.openxmlformats.org/officeDocument/2006/relationships/hyperlink" Target="https://t.me/svetagrinn" TargetMode="External"/><Relationship Id="rId4" Type="http://schemas.openxmlformats.org/officeDocument/2006/relationships/hyperlink" Target="http://t.me/treger7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defaultColWidth="12.5703125" defaultRowHeight="15.75" customHeight="1" x14ac:dyDescent="0.2"/>
  <cols>
    <col min="1" max="1" width="29.42578125" customWidth="1"/>
    <col min="2" max="2" width="23.42578125" customWidth="1"/>
    <col min="3" max="3" width="16.42578125" customWidth="1"/>
    <col min="4" max="4" width="20.140625" hidden="1" customWidth="1"/>
    <col min="5" max="5" width="16.28515625" hidden="1" customWidth="1"/>
    <col min="6" max="6" width="17" hidden="1" customWidth="1"/>
    <col min="7" max="7" width="12.5703125" hidden="1"/>
    <col min="8" max="8" width="12.85546875" hidden="1" customWidth="1"/>
    <col min="9" max="9" width="10.28515625" customWidth="1"/>
    <col min="10" max="10" width="11.85546875" customWidth="1"/>
    <col min="11" max="11" width="12" customWidth="1"/>
    <col min="12" max="12" width="12.7109375" customWidth="1"/>
    <col min="13" max="13" width="11.7109375" customWidth="1"/>
    <col min="15" max="15" width="13.42578125" customWidth="1"/>
    <col min="16" max="16" width="12.7109375" customWidth="1"/>
    <col min="17" max="17" width="10.85546875" customWidth="1"/>
    <col min="18" max="18" width="12" customWidth="1"/>
    <col min="19" max="19" width="13.140625" customWidth="1"/>
    <col min="20" max="23" width="15.140625" customWidth="1"/>
    <col min="24" max="24" width="19" customWidth="1"/>
    <col min="25" max="25" width="16.28515625" customWidth="1"/>
  </cols>
  <sheetData>
    <row r="1" spans="1:25" ht="37.5" customHeight="1" x14ac:dyDescent="0.2">
      <c r="A1" s="1" t="s">
        <v>88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">
        <v>8</v>
      </c>
      <c r="K1" s="4" t="s">
        <v>9</v>
      </c>
      <c r="L1" s="5" t="s">
        <v>10</v>
      </c>
      <c r="M1" s="6" t="s">
        <v>11</v>
      </c>
      <c r="N1" s="7" t="s">
        <v>12</v>
      </c>
      <c r="O1" s="8" t="s">
        <v>13</v>
      </c>
      <c r="P1" s="9" t="s">
        <v>14</v>
      </c>
      <c r="Q1" s="9" t="s">
        <v>15</v>
      </c>
      <c r="R1" s="10" t="s">
        <v>16</v>
      </c>
      <c r="S1" s="10" t="s">
        <v>17</v>
      </c>
      <c r="T1" s="11" t="s">
        <v>18</v>
      </c>
      <c r="U1" s="11" t="s">
        <v>19</v>
      </c>
    </row>
    <row r="2" spans="1:25" x14ac:dyDescent="0.2">
      <c r="A2" s="12" t="s">
        <v>20</v>
      </c>
      <c r="B2" s="12" t="s">
        <v>21</v>
      </c>
      <c r="C2" s="13">
        <v>89198366717</v>
      </c>
      <c r="D2" s="12" t="s">
        <v>22</v>
      </c>
      <c r="E2" s="12" t="s">
        <v>23</v>
      </c>
      <c r="F2" s="12" t="s">
        <v>24</v>
      </c>
      <c r="G2" s="12" t="s">
        <v>25</v>
      </c>
      <c r="H2" s="13">
        <v>33</v>
      </c>
      <c r="I2" s="13">
        <f t="shared" ref="I2:I12" si="0">COUNTIF(J2:M2, "Да")</f>
        <v>3</v>
      </c>
      <c r="J2" s="12" t="s">
        <v>26</v>
      </c>
      <c r="K2" s="12" t="s">
        <v>27</v>
      </c>
      <c r="L2" s="12" t="s">
        <v>26</v>
      </c>
      <c r="M2" s="12" t="s">
        <v>26</v>
      </c>
      <c r="N2" s="12" t="s">
        <v>28</v>
      </c>
      <c r="O2" s="14" t="s">
        <v>29</v>
      </c>
      <c r="P2" s="15" t="s">
        <v>30</v>
      </c>
      <c r="Q2" s="15" t="s">
        <v>30</v>
      </c>
      <c r="R2" s="14" t="s">
        <v>31</v>
      </c>
      <c r="S2" s="14" t="s">
        <v>32</v>
      </c>
      <c r="T2" s="14" t="s">
        <v>31</v>
      </c>
      <c r="U2" s="14" t="s">
        <v>32</v>
      </c>
      <c r="V2" s="16"/>
      <c r="W2" s="16"/>
      <c r="X2" s="16"/>
      <c r="Y2" s="16"/>
    </row>
    <row r="3" spans="1:25" x14ac:dyDescent="0.2">
      <c r="A3" s="12" t="s">
        <v>33</v>
      </c>
      <c r="B3" s="17" t="s">
        <v>34</v>
      </c>
      <c r="C3" s="13">
        <v>89171106075</v>
      </c>
      <c r="D3" s="12" t="s">
        <v>22</v>
      </c>
      <c r="E3" s="12" t="s">
        <v>35</v>
      </c>
      <c r="F3" s="12" t="s">
        <v>36</v>
      </c>
      <c r="G3" s="12" t="s">
        <v>37</v>
      </c>
      <c r="H3" s="13">
        <v>35</v>
      </c>
      <c r="I3" s="13">
        <f t="shared" si="0"/>
        <v>2</v>
      </c>
      <c r="J3" s="12" t="s">
        <v>38</v>
      </c>
      <c r="K3" s="12" t="s">
        <v>26</v>
      </c>
      <c r="L3" s="12" t="s">
        <v>26</v>
      </c>
      <c r="M3" s="12" t="s">
        <v>27</v>
      </c>
      <c r="N3" s="12"/>
      <c r="O3" s="14"/>
      <c r="P3" s="14" t="s">
        <v>31</v>
      </c>
      <c r="Q3" s="14" t="s">
        <v>32</v>
      </c>
      <c r="R3" s="14" t="s">
        <v>31</v>
      </c>
      <c r="S3" s="14" t="s">
        <v>32</v>
      </c>
      <c r="T3" s="15" t="s">
        <v>30</v>
      </c>
      <c r="U3" s="15" t="s">
        <v>30</v>
      </c>
      <c r="V3" s="16"/>
      <c r="W3" s="18" t="s">
        <v>39</v>
      </c>
      <c r="X3" s="18" t="s">
        <v>40</v>
      </c>
      <c r="Y3" s="18" t="s">
        <v>41</v>
      </c>
    </row>
    <row r="4" spans="1:25" x14ac:dyDescent="0.2">
      <c r="A4" s="12" t="s">
        <v>42</v>
      </c>
      <c r="B4" s="17" t="s">
        <v>43</v>
      </c>
      <c r="C4" s="13">
        <v>89105012024</v>
      </c>
      <c r="D4" s="12" t="s">
        <v>44</v>
      </c>
      <c r="E4" s="12" t="s">
        <v>45</v>
      </c>
      <c r="F4" s="12" t="s">
        <v>45</v>
      </c>
      <c r="G4" s="12" t="s">
        <v>37</v>
      </c>
      <c r="H4" s="13">
        <v>28</v>
      </c>
      <c r="I4" s="13">
        <f t="shared" si="0"/>
        <v>2</v>
      </c>
      <c r="J4" s="12" t="s">
        <v>26</v>
      </c>
      <c r="K4" s="12" t="s">
        <v>38</v>
      </c>
      <c r="L4" s="12" t="s">
        <v>26</v>
      </c>
      <c r="M4" s="12" t="s">
        <v>38</v>
      </c>
      <c r="N4" s="12" t="s">
        <v>28</v>
      </c>
      <c r="O4" s="14" t="s">
        <v>46</v>
      </c>
      <c r="P4" s="14"/>
      <c r="Q4" s="14"/>
      <c r="R4" s="14" t="s">
        <v>28</v>
      </c>
      <c r="S4" s="14" t="s">
        <v>46</v>
      </c>
      <c r="T4" s="14"/>
      <c r="U4" s="14"/>
      <c r="V4" s="19"/>
      <c r="W4" s="20" t="s">
        <v>47</v>
      </c>
      <c r="X4" s="21">
        <f>COUNTIF(J:J, "Да")</f>
        <v>7</v>
      </c>
      <c r="Y4" s="20">
        <v>90</v>
      </c>
    </row>
    <row r="5" spans="1:25" x14ac:dyDescent="0.2">
      <c r="A5" s="12" t="s">
        <v>48</v>
      </c>
      <c r="B5" s="17" t="s">
        <v>49</v>
      </c>
      <c r="C5" s="13">
        <v>89829151333</v>
      </c>
      <c r="D5" s="12" t="s">
        <v>22</v>
      </c>
      <c r="E5" s="12" t="s">
        <v>50</v>
      </c>
      <c r="F5" s="12" t="s">
        <v>51</v>
      </c>
      <c r="G5" s="12" t="s">
        <v>25</v>
      </c>
      <c r="H5" s="13">
        <v>48</v>
      </c>
      <c r="I5" s="13">
        <f t="shared" si="0"/>
        <v>1</v>
      </c>
      <c r="J5" s="12" t="s">
        <v>38</v>
      </c>
      <c r="K5" s="12" t="s">
        <v>38</v>
      </c>
      <c r="L5" s="12" t="s">
        <v>26</v>
      </c>
      <c r="M5" s="12" t="s">
        <v>27</v>
      </c>
      <c r="N5" s="12"/>
      <c r="O5" s="14"/>
      <c r="P5" s="14"/>
      <c r="Q5" s="14"/>
      <c r="R5" s="14" t="s">
        <v>31</v>
      </c>
      <c r="S5" s="14" t="s">
        <v>32</v>
      </c>
      <c r="T5" s="15" t="s">
        <v>30</v>
      </c>
      <c r="U5" s="15" t="s">
        <v>30</v>
      </c>
      <c r="V5" s="19"/>
      <c r="W5" s="20" t="s">
        <v>52</v>
      </c>
      <c r="X5" s="21">
        <f>COUNTIF(K:K, "Да")</f>
        <v>3</v>
      </c>
      <c r="Y5" s="20">
        <v>90</v>
      </c>
    </row>
    <row r="6" spans="1:25" x14ac:dyDescent="0.2">
      <c r="A6" s="12" t="s">
        <v>53</v>
      </c>
      <c r="B6" s="17" t="s">
        <v>54</v>
      </c>
      <c r="C6" s="13">
        <v>89006061580</v>
      </c>
      <c r="D6" s="12" t="s">
        <v>22</v>
      </c>
      <c r="E6" s="12" t="s">
        <v>45</v>
      </c>
      <c r="F6" s="12" t="s">
        <v>45</v>
      </c>
      <c r="G6" s="12" t="s">
        <v>25</v>
      </c>
      <c r="H6" s="13">
        <v>26</v>
      </c>
      <c r="I6" s="13">
        <f t="shared" si="0"/>
        <v>1</v>
      </c>
      <c r="J6" s="12" t="s">
        <v>26</v>
      </c>
      <c r="K6" s="12" t="s">
        <v>38</v>
      </c>
      <c r="L6" s="12" t="s">
        <v>27</v>
      </c>
      <c r="M6" s="12" t="s">
        <v>27</v>
      </c>
      <c r="N6" s="12" t="s">
        <v>31</v>
      </c>
      <c r="O6" s="14" t="s">
        <v>32</v>
      </c>
      <c r="P6" s="14"/>
      <c r="Q6" s="14"/>
      <c r="R6" s="15" t="s">
        <v>30</v>
      </c>
      <c r="S6" s="15" t="s">
        <v>30</v>
      </c>
      <c r="T6" s="15" t="s">
        <v>30</v>
      </c>
      <c r="U6" s="15" t="s">
        <v>30</v>
      </c>
      <c r="V6" s="19"/>
      <c r="W6" s="20" t="s">
        <v>55</v>
      </c>
      <c r="X6" s="21">
        <f>COUNTIF(L:L, "Да")</f>
        <v>10</v>
      </c>
      <c r="Y6" s="20">
        <v>90</v>
      </c>
    </row>
    <row r="7" spans="1:25" x14ac:dyDescent="0.2">
      <c r="A7" s="12" t="s">
        <v>56</v>
      </c>
      <c r="B7" s="12" t="s">
        <v>57</v>
      </c>
      <c r="C7" s="13">
        <v>89017467378</v>
      </c>
      <c r="D7" s="12" t="s">
        <v>44</v>
      </c>
      <c r="E7" s="12" t="s">
        <v>58</v>
      </c>
      <c r="F7" s="12" t="s">
        <v>59</v>
      </c>
      <c r="G7" s="12" t="s">
        <v>25</v>
      </c>
      <c r="H7" s="13">
        <v>33</v>
      </c>
      <c r="I7" s="13">
        <f t="shared" si="0"/>
        <v>4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28</v>
      </c>
      <c r="O7" s="14" t="s">
        <v>46</v>
      </c>
      <c r="P7" s="14" t="s">
        <v>28</v>
      </c>
      <c r="Q7" s="14" t="s">
        <v>46</v>
      </c>
      <c r="R7" s="14" t="s">
        <v>28</v>
      </c>
      <c r="S7" s="14" t="s">
        <v>46</v>
      </c>
      <c r="T7" s="14" t="s">
        <v>31</v>
      </c>
      <c r="U7" s="14" t="s">
        <v>32</v>
      </c>
      <c r="V7" s="19"/>
      <c r="W7" s="20" t="s">
        <v>60</v>
      </c>
      <c r="X7" s="21">
        <f>COUNTIF(M:M, "Да")</f>
        <v>5</v>
      </c>
      <c r="Y7" s="20">
        <v>90</v>
      </c>
    </row>
    <row r="8" spans="1:25" x14ac:dyDescent="0.2">
      <c r="A8" s="12" t="s">
        <v>61</v>
      </c>
      <c r="B8" s="12" t="s">
        <v>62</v>
      </c>
      <c r="C8" s="13">
        <v>89375458841</v>
      </c>
      <c r="D8" s="12" t="s">
        <v>22</v>
      </c>
      <c r="E8" s="12" t="s">
        <v>63</v>
      </c>
      <c r="F8" s="12" t="s">
        <v>64</v>
      </c>
      <c r="G8" s="12" t="s">
        <v>37</v>
      </c>
      <c r="H8" s="13">
        <v>36</v>
      </c>
      <c r="I8" s="13">
        <f t="shared" si="0"/>
        <v>4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28</v>
      </c>
      <c r="O8" s="12" t="s">
        <v>29</v>
      </c>
      <c r="P8" s="12" t="s">
        <v>31</v>
      </c>
      <c r="Q8" s="12" t="s">
        <v>32</v>
      </c>
      <c r="R8" s="12" t="s">
        <v>31</v>
      </c>
      <c r="S8" s="12" t="s">
        <v>32</v>
      </c>
      <c r="T8" s="12" t="s">
        <v>31</v>
      </c>
      <c r="U8" s="12" t="s">
        <v>32</v>
      </c>
    </row>
    <row r="9" spans="1:25" x14ac:dyDescent="0.2">
      <c r="A9" s="12" t="s">
        <v>65</v>
      </c>
      <c r="B9" s="17" t="s">
        <v>66</v>
      </c>
      <c r="C9" s="13">
        <v>89290220229</v>
      </c>
      <c r="D9" s="12" t="s">
        <v>22</v>
      </c>
      <c r="E9" s="13">
        <v>32</v>
      </c>
      <c r="F9" s="12" t="s">
        <v>67</v>
      </c>
      <c r="G9" s="12" t="s">
        <v>37</v>
      </c>
      <c r="H9" s="13">
        <v>43</v>
      </c>
      <c r="I9" s="13">
        <f t="shared" si="0"/>
        <v>1</v>
      </c>
      <c r="J9" s="12" t="s">
        <v>38</v>
      </c>
      <c r="K9" s="12" t="s">
        <v>27</v>
      </c>
      <c r="L9" s="12" t="s">
        <v>26</v>
      </c>
      <c r="M9" s="12" t="s">
        <v>27</v>
      </c>
      <c r="N9" s="12"/>
      <c r="O9" s="12"/>
      <c r="P9" s="22" t="s">
        <v>30</v>
      </c>
      <c r="Q9" s="22" t="s">
        <v>30</v>
      </c>
      <c r="R9" s="12" t="s">
        <v>31</v>
      </c>
      <c r="S9" s="12" t="s">
        <v>32</v>
      </c>
      <c r="T9" s="22" t="s">
        <v>30</v>
      </c>
      <c r="U9" s="22" t="s">
        <v>30</v>
      </c>
    </row>
    <row r="10" spans="1:25" x14ac:dyDescent="0.2">
      <c r="A10" s="12" t="s">
        <v>68</v>
      </c>
      <c r="B10" s="12" t="s">
        <v>69</v>
      </c>
      <c r="C10" s="13">
        <v>89152488681</v>
      </c>
      <c r="D10" s="12" t="s">
        <v>22</v>
      </c>
      <c r="E10" s="12" t="s">
        <v>70</v>
      </c>
      <c r="F10" s="12" t="s">
        <v>71</v>
      </c>
      <c r="G10" s="12" t="s">
        <v>25</v>
      </c>
      <c r="H10" s="13">
        <v>20</v>
      </c>
      <c r="I10" s="13">
        <f t="shared" si="0"/>
        <v>2</v>
      </c>
      <c r="J10" s="12" t="s">
        <v>38</v>
      </c>
      <c r="K10" s="12" t="s">
        <v>38</v>
      </c>
      <c r="L10" s="12" t="s">
        <v>26</v>
      </c>
      <c r="M10" s="12" t="s">
        <v>26</v>
      </c>
      <c r="N10" s="12"/>
      <c r="O10" s="12"/>
      <c r="P10" s="12"/>
      <c r="Q10" s="12"/>
      <c r="R10" s="12" t="s">
        <v>31</v>
      </c>
      <c r="S10" s="12" t="s">
        <v>32</v>
      </c>
      <c r="T10" s="12" t="s">
        <v>31</v>
      </c>
      <c r="U10" s="12" t="s">
        <v>32</v>
      </c>
    </row>
    <row r="11" spans="1:25" x14ac:dyDescent="0.2">
      <c r="A11" s="12" t="s">
        <v>72</v>
      </c>
      <c r="B11" s="12" t="s">
        <v>73</v>
      </c>
      <c r="C11" s="13">
        <v>89530897291</v>
      </c>
      <c r="D11" s="12" t="s">
        <v>44</v>
      </c>
      <c r="E11" s="12" t="s">
        <v>74</v>
      </c>
      <c r="F11" s="12" t="s">
        <v>75</v>
      </c>
      <c r="G11" s="12" t="s">
        <v>37</v>
      </c>
      <c r="H11" s="13">
        <v>39</v>
      </c>
      <c r="I11" s="13">
        <f t="shared" si="0"/>
        <v>2</v>
      </c>
      <c r="J11" s="12" t="s">
        <v>26</v>
      </c>
      <c r="K11" s="12" t="s">
        <v>38</v>
      </c>
      <c r="L11" s="12" t="s">
        <v>26</v>
      </c>
      <c r="M11" s="12" t="s">
        <v>27</v>
      </c>
      <c r="N11" s="12" t="s">
        <v>31</v>
      </c>
      <c r="O11" s="12" t="s">
        <v>32</v>
      </c>
      <c r="P11" s="12"/>
      <c r="Q11" s="12"/>
      <c r="R11" s="12" t="s">
        <v>31</v>
      </c>
      <c r="S11" s="12" t="s">
        <v>32</v>
      </c>
      <c r="T11" s="22" t="s">
        <v>30</v>
      </c>
      <c r="U11" s="22" t="s">
        <v>30</v>
      </c>
    </row>
    <row r="12" spans="1:25" x14ac:dyDescent="0.2">
      <c r="A12" s="12" t="s">
        <v>76</v>
      </c>
      <c r="B12" s="17" t="s">
        <v>77</v>
      </c>
      <c r="C12" s="13">
        <v>89530371763</v>
      </c>
      <c r="D12" s="12" t="s">
        <v>22</v>
      </c>
      <c r="E12" s="12" t="s">
        <v>78</v>
      </c>
      <c r="F12" s="12" t="s">
        <v>79</v>
      </c>
      <c r="G12" s="12" t="s">
        <v>25</v>
      </c>
      <c r="H12" s="13">
        <v>22</v>
      </c>
      <c r="I12" s="13">
        <f t="shared" si="0"/>
        <v>3</v>
      </c>
      <c r="J12" s="12" t="s">
        <v>26</v>
      </c>
      <c r="K12" s="12" t="s">
        <v>38</v>
      </c>
      <c r="L12" s="12" t="s">
        <v>26</v>
      </c>
      <c r="M12" s="12" t="s">
        <v>26</v>
      </c>
      <c r="N12" s="12" t="s">
        <v>28</v>
      </c>
      <c r="O12" s="12" t="s">
        <v>29</v>
      </c>
      <c r="P12" s="12"/>
      <c r="Q12" s="12"/>
      <c r="R12" s="12" t="s">
        <v>31</v>
      </c>
      <c r="S12" s="12" t="s">
        <v>32</v>
      </c>
      <c r="T12" s="12" t="s">
        <v>31</v>
      </c>
      <c r="U12" s="12" t="s">
        <v>32</v>
      </c>
    </row>
    <row r="14" spans="1:25" x14ac:dyDescent="0.2">
      <c r="N14" s="23"/>
      <c r="O14" s="24"/>
      <c r="P14" s="24"/>
      <c r="Q14" s="24"/>
      <c r="R14" s="24"/>
      <c r="S14" s="24"/>
      <c r="T14" s="24"/>
      <c r="U14" s="24"/>
      <c r="V14" s="24"/>
      <c r="W14" s="24"/>
      <c r="Y14" s="24"/>
    </row>
    <row r="15" spans="1:25" x14ac:dyDescent="0.2">
      <c r="N15" s="23"/>
      <c r="O15" s="24"/>
      <c r="P15" s="24"/>
      <c r="Q15" s="24"/>
      <c r="R15" s="24"/>
      <c r="S15" s="24"/>
      <c r="T15" s="24"/>
      <c r="U15" s="24"/>
      <c r="V15" s="24"/>
      <c r="W15" s="24"/>
      <c r="Y15" s="24"/>
    </row>
    <row r="16" spans="1:25" x14ac:dyDescent="0.2">
      <c r="N16" s="23"/>
      <c r="O16" s="24"/>
      <c r="P16" s="24"/>
      <c r="Q16" s="24"/>
      <c r="R16" s="24"/>
      <c r="S16" s="24"/>
      <c r="T16" s="24"/>
      <c r="U16" s="24"/>
      <c r="V16" s="24"/>
      <c r="W16" s="24"/>
      <c r="Y16" s="24"/>
    </row>
    <row r="17" spans="14:25" x14ac:dyDescent="0.2">
      <c r="N17" s="23"/>
      <c r="O17" s="24"/>
      <c r="P17" s="24"/>
      <c r="Q17" s="24"/>
      <c r="R17" s="24"/>
      <c r="S17" s="24"/>
      <c r="T17" s="24"/>
      <c r="U17" s="24"/>
      <c r="V17" s="24"/>
      <c r="W17" s="24"/>
      <c r="Y17" s="24"/>
    </row>
    <row r="18" spans="14:25" x14ac:dyDescent="0.2">
      <c r="N18" s="23"/>
      <c r="O18" s="24"/>
      <c r="P18" s="24"/>
      <c r="Q18" s="24"/>
      <c r="R18" s="24"/>
      <c r="S18" s="24"/>
      <c r="T18" s="24"/>
      <c r="U18" s="24"/>
      <c r="V18" s="24"/>
      <c r="W18" s="24"/>
      <c r="Y18" s="24"/>
    </row>
  </sheetData>
  <conditionalFormatting sqref="H19:H20 H23:H26 H28">
    <cfRule type="cellIs" dxfId="4" priority="1" operator="notBetween">
      <formula>18</formula>
      <formula>55</formula>
    </cfRule>
  </conditionalFormatting>
  <conditionalFormatting sqref="I19:I20 I23:I28">
    <cfRule type="cellIs" dxfId="3" priority="2" operator="lessThan">
      <formula>2</formula>
    </cfRule>
  </conditionalFormatting>
  <conditionalFormatting sqref="G14:G18">
    <cfRule type="containsText" dxfId="2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7 A29:A996">
    <cfRule type="expression" dxfId="1" priority="4">
      <formula>COUNTIF(A:A,A1)&gt;=2</formula>
    </cfRule>
  </conditionalFormatting>
  <conditionalFormatting sqref="X4:X7">
    <cfRule type="cellIs" dxfId="0" priority="5" operator="greaterThanOrEqual">
      <formula>90</formula>
    </cfRule>
  </conditionalFormatting>
  <hyperlinks>
    <hyperlink ref="B3" r:id="rId1" xr:uid="{00000000-0004-0000-0000-000000000000}"/>
    <hyperlink ref="B4" r:id="rId2" xr:uid="{00000000-0004-0000-0000-000001000000}"/>
    <hyperlink ref="B5" r:id="rId3" xr:uid="{00000000-0004-0000-0000-000002000000}"/>
    <hyperlink ref="B6" r:id="rId4" xr:uid="{00000000-0004-0000-0000-000003000000}"/>
    <hyperlink ref="B9" r:id="rId5" xr:uid="{00000000-0004-0000-0000-000004000000}"/>
    <hyperlink ref="B12" r:id="rId6" xr:uid="{00000000-0004-0000-0000-000005000000}"/>
  </hyperlinks>
  <pageMargins left="0.7" right="0.7" top="0.75" bottom="0.75" header="0.3" footer="0.3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6"/>
  <sheetViews>
    <sheetView tabSelected="1" workbookViewId="0">
      <selection activeCell="E2" sqref="E2:E6"/>
    </sheetView>
  </sheetViews>
  <sheetFormatPr defaultColWidth="12.5703125" defaultRowHeight="15.75" customHeight="1" x14ac:dyDescent="0.2"/>
  <sheetData>
    <row r="1" spans="1:5" x14ac:dyDescent="0.2">
      <c r="B1" s="19" t="s">
        <v>80</v>
      </c>
      <c r="C1" s="19" t="s">
        <v>81</v>
      </c>
      <c r="D1" s="19" t="s">
        <v>82</v>
      </c>
      <c r="E1" s="19" t="s">
        <v>83</v>
      </c>
    </row>
    <row r="2" spans="1:5" x14ac:dyDescent="0.2">
      <c r="A2" s="19" t="s">
        <v>31</v>
      </c>
      <c r="B2" s="19" t="s">
        <v>84</v>
      </c>
      <c r="C2" s="19" t="s">
        <v>84</v>
      </c>
      <c r="D2" s="19" t="s">
        <v>84</v>
      </c>
      <c r="E2" s="19" t="s">
        <v>84</v>
      </c>
    </row>
    <row r="3" spans="1:5" x14ac:dyDescent="0.2">
      <c r="A3" s="19" t="s">
        <v>28</v>
      </c>
      <c r="B3" s="19" t="s">
        <v>85</v>
      </c>
      <c r="C3" s="19" t="s">
        <v>85</v>
      </c>
      <c r="D3" s="19" t="s">
        <v>85</v>
      </c>
      <c r="E3" s="19" t="s">
        <v>85</v>
      </c>
    </row>
    <row r="5" spans="1:5" x14ac:dyDescent="0.2">
      <c r="A5" s="19" t="s">
        <v>32</v>
      </c>
      <c r="B5" s="19" t="s">
        <v>86</v>
      </c>
      <c r="C5" s="19" t="s">
        <v>86</v>
      </c>
      <c r="D5" s="19" t="s">
        <v>86</v>
      </c>
      <c r="E5" s="19" t="s">
        <v>86</v>
      </c>
    </row>
    <row r="6" spans="1:5" x14ac:dyDescent="0.2">
      <c r="A6" s="19" t="s">
        <v>46</v>
      </c>
      <c r="B6" s="19" t="s">
        <v>87</v>
      </c>
      <c r="C6" s="19" t="s">
        <v>87</v>
      </c>
      <c r="D6" s="19" t="s">
        <v>87</v>
      </c>
      <c r="E6" s="19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Отобранные участники</vt:lpstr>
      <vt:lpstr>Ссылки на инструкции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</cp:lastModifiedBy>
  <dcterms:modified xsi:type="dcterms:W3CDTF">2025-11-21T09:43:39Z</dcterms:modified>
</cp:coreProperties>
</file>