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>
    <definedName hidden="1" localSheetId="0" name="_xlnm._FilterDatabase">'Отобранные участники'!$A$1:$AA$242</definedName>
  </definedNames>
  <calcPr/>
</workbook>
</file>

<file path=xl/sharedStrings.xml><?xml version="1.0" encoding="utf-8"?>
<sst xmlns="http://schemas.openxmlformats.org/spreadsheetml/2006/main" count="3842" uniqueCount="764">
  <si>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</si>
  <si>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</si>
  <si>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</si>
  <si>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</si>
  <si>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</si>
  <si>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</si>
  <si>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</si>
  <si>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</si>
  <si>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</si>
  <si>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</si>
  <si>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</si>
  <si>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</si>
  <si>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</si>
  <si>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</si>
  <si>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</si>
  <si>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</si>
  <si>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</si>
  <si>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</si>
  <si>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</si>
  <si>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</si>
  <si>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</si>
  <si>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</si>
  <si>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</si>
  <si>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</si>
  <si>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</si>
  <si>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</si>
  <si>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</si>
  <si>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</si>
  <si>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</si>
  <si>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</si>
  <si>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</si>
  <si>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</si>
  <si>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</si>
  <si>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</si>
  <si>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</si>
  <si>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</si>
  <si>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</si>
  <si>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</si>
  <si>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</si>
  <si>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</si>
  <si>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</si>
  <si>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</si>
  <si>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</si>
  <si>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</si>
  <si>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</si>
  <si>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</si>
  <si>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</si>
  <si>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</si>
  <si>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</si>
  <si>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</si>
  <si>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</si>
  <si>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</si>
  <si>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</si>
  <si>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</si>
  <si>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</si>
  <si>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</si>
  <si>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</si>
  <si>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</si>
  <si>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</si>
  <si>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</si>
  <si>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</si>
  <si>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</si>
  <si>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</si>
  <si>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</si>
  <si>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</si>
  <si>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</si>
  <si>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</si>
  <si>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</si>
  <si>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</si>
  <si>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</si>
  <si>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</si>
  <si>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</si>
  <si>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</si>
  <si>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</si>
  <si>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</si>
  <si>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</si>
  <si>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</si>
  <si>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</si>
  <si>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</si>
  <si>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</si>
  <si>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</si>
  <si>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</si>
  <si>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</si>
  <si>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</si>
  <si>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</si>
  <si>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</si>
  <si>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Выбыл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</si>
  <si>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</si>
  <si>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</si>
  <si>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</si>
  <si>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</si>
  <si>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</si>
  <si>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</si>
  <si>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</si>
  <si>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</si>
  <si>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</si>
  <si>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</si>
  <si>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</si>
  <si>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</si>
  <si>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</si>
  <si>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</si>
  <si>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</si>
  <si>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</si>
  <si>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</si>
  <si>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</si>
  <si>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</si>
  <si>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</si>
  <si>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</si>
  <si>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</si>
  <si>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</si>
  <si>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</si>
  <si>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</si>
  <si>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</si>
  <si>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</si>
  <si>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</si>
  <si>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</si>
  <si>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</si>
  <si>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</si>
  <si>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</si>
  <si>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</si>
  <si>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</si>
  <si>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</si>
  <si>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</si>
  <si>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</si>
  <si>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</si>
  <si>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</si>
  <si>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</si>
  <si>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</si>
  <si>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</si>
  <si>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</si>
  <si>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</si>
  <si>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</si>
  <si>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</si>
  <si>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</si>
  <si>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</si>
  <si>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</si>
  <si>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</si>
  <si>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</si>
  <si>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</si>
  <si>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</si>
  <si>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</si>
  <si>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</si>
  <si>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</si>
  <si>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</si>
  <si>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</si>
  <si>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</si>
  <si>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</si>
  <si>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</si>
  <si>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</si>
  <si>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</si>
  <si>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</si>
  <si>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</si>
  <si>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</si>
  <si>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</si>
  <si>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</si>
  <si>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</si>
  <si>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</si>
  <si>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</si>
  <si>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</si>
  <si>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</si>
  <si>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</si>
  <si>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</si>
  <si>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</si>
  <si>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</si>
  <si>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</si>
  <si>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</si>
  <si>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</si>
  <si>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</si>
  <si>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</si>
  <si>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</si>
  <si>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</si>
  <si>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</si>
  <si>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</si>
  <si>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</si>
  <si>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</si>
  <si>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</si>
  <si>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</si>
  <si>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</si>
  <si>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</si>
  <si>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</si>
  <si>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</si>
  <si>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</si>
  <si>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</si>
  <si>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</si>
  <si>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</si>
  <si>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</si>
  <si>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</si>
  <si>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</si>
  <si>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</si>
  <si>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</si>
  <si>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</si>
  <si>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</si>
  <si>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</si>
  <si>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</si>
  <si>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</si>
  <si>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</si>
  <si>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</si>
  <si>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</si>
  <si>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</si>
  <si>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</si>
  <si>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</si>
  <si>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</si>
  <si>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</si>
  <si>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</si>
  <si>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</si>
  <si>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</si>
  <si>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</si>
  <si>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</si>
  <si>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</si>
  <si>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</si>
  <si>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</si>
  <si>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</si>
  <si>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</si>
  <si>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</si>
  <si>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</si>
  <si>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</si>
  <si>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</si>
  <si>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</si>
  <si>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</si>
  <si>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</si>
  <si>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</si>
  <si>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</si>
  <si>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</si>
  <si>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</si>
  <si>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</si>
  <si>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</si>
  <si>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</si>
  <si>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</si>
  <si>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</si>
  <si>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</si>
  <si>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</si>
  <si>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</si>
  <si>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</si>
  <si>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</si>
  <si>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</si>
  <si>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</si>
  <si>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</si>
  <si>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</si>
  <si>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</si>
  <si>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</si>
  <si>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</si>
  <si>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</si>
  <si>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</si>
  <si>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</si>
  <si>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</si>
  <si>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</si>
  <si>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</si>
  <si>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</si>
  <si>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</si>
  <si>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</si>
  <si>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</si>
  <si>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</si>
  <si>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</si>
  <si>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</si>
  <si>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</si>
  <si>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</si>
  <si>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</si>
  <si>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</si>
  <si>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</si>
  <si>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</si>
  <si>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</si>
  <si>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</si>
  <si>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</si>
  <si>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</si>
  <si>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</si>
  <si>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</si>
  <si>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</si>
  <si>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</si>
  <si>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</si>
  <si>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</si>
  <si>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</si>
  <si>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</si>
  <si>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</si>
  <si>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</si>
  <si>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</si>
  <si>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</si>
  <si>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</si>
  <si>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</si>
  <si>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</si>
  <si>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</si>
  <si>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</si>
  <si>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</si>
  <si>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</si>
  <si>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</si>
  <si>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</si>
  <si>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</si>
  <si>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</si>
  <si>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</si>
  <si>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</si>
  <si>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</si>
  <si>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</si>
  <si>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</si>
  <si>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</si>
  <si>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</si>
  <si>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</si>
  <si>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</si>
  <si>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</si>
  <si>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</si>
  <si>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</si>
  <si>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</si>
  <si>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</si>
  <si>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</si>
  <si>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</si>
  <si>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</si>
  <si>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</si>
  <si>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</si>
  <si>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</si>
  <si>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</si>
  <si>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</si>
  <si>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</si>
  <si>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</si>
  <si>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</si>
  <si>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</si>
  <si>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</si>
  <si>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</si>
  <si>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</si>
  <si>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</si>
  <si>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</si>
  <si>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</si>
  <si>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</si>
  <si>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</si>
  <si>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</si>
  <si>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</si>
  <si>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</si>
  <si>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</si>
  <si>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</si>
  <si>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</si>
  <si>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</si>
  <si>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</si>
  <si>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</si>
  <si>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</si>
  <si>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</si>
  <si>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</si>
  <si>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</si>
  <si>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</si>
  <si>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</si>
  <si>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</si>
  <si>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</si>
  <si>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</si>
  <si>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</si>
  <si>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</si>
  <si>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</si>
  <si>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</si>
  <si>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</si>
  <si>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</si>
  <si>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</si>
  <si>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</si>
  <si>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</si>
  <si>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</si>
  <si>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</si>
  <si>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</si>
  <si>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</si>
  <si>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</si>
  <si>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</si>
  <si>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</si>
  <si>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</si>
  <si>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</si>
  <si>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</si>
  <si>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</si>
  <si>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</si>
  <si>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</si>
  <si>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</si>
  <si>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</si>
  <si>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</si>
  <si>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</si>
  <si>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</si>
  <si>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</si>
  <si>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</si>
  <si>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</si>
  <si>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</si>
  <si>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</si>
  <si>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</si>
  <si>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</si>
  <si>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</si>
  <si>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</si>
  <si>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</si>
  <si>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</si>
  <si>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</si>
  <si>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</si>
  <si>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</si>
  <si>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</si>
  <si>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</si>
  <si>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</si>
  <si>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</si>
  <si>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</si>
  <si>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</si>
  <si>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</si>
  <si>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</si>
  <si>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</si>
  <si>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</si>
  <si>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</si>
  <si>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</si>
  <si>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</si>
  <si>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</si>
  <si>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</si>
  <si>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</si>
  <si>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</si>
  <si>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</si>
  <si>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</si>
  <si>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</si>
  <si>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</si>
  <si>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</si>
  <si>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</si>
  <si>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</si>
  <si>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</si>
  <si>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</si>
  <si>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</si>
  <si>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</si>
  <si>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</si>
  <si>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</si>
  <si>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</si>
  <si>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</si>
  <si>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</si>
  <si>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</si>
  <si>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</si>
  <si>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</si>
  <si>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</si>
  <si>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</si>
  <si>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</si>
  <si>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</si>
  <si>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</si>
  <si>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</si>
  <si>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</si>
  <si>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</si>
  <si>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</si>
  <si>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</si>
  <si>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</si>
  <si>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</si>
  <si>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</si>
  <si>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</si>
  <si>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</si>
  <si>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</si>
  <si>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</si>
  <si>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</si>
  <si>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</si>
  <si>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</si>
  <si>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</si>
  <si>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</si>
  <si>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</si>
  <si>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</si>
  <si>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</si>
  <si>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</si>
  <si>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</si>
  <si>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</si>
  <si>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</si>
  <si>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</si>
  <si>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</si>
  <si>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</si>
  <si>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</si>
  <si>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</si>
  <si>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</si>
  <si>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</si>
  <si>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</si>
  <si>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</si>
  <si>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</si>
  <si>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</si>
  <si>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</si>
  <si>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</si>
  <si>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</si>
  <si>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</si>
  <si>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</si>
  <si>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</si>
  <si>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</si>
  <si>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</si>
  <si>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</si>
  <si>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</si>
  <si>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</si>
  <si>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</si>
  <si>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</si>
  <si>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</si>
  <si>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</si>
  <si>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</si>
  <si>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</si>
  <si>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</si>
  <si>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</si>
  <si>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</si>
  <si>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</si>
  <si>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</si>
  <si>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</si>
  <si>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</si>
  <si>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</si>
  <si>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</si>
  <si>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</si>
  <si>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</si>
  <si>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</si>
  <si>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</si>
  <si>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</si>
  <si>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</si>
  <si>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</si>
  <si>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</si>
  <si>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</si>
  <si>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</si>
  <si>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</si>
  <si>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</si>
  <si>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</si>
  <si>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</si>
  <si>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</si>
  <si>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</si>
  <si>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</si>
  <si>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</si>
  <si>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</si>
  <si>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</si>
  <si>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</si>
  <si>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</si>
  <si>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</si>
  <si>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</si>
  <si>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</si>
  <si>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</si>
  <si>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</si>
  <si>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</si>
  <si>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</si>
  <si>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</si>
  <si>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</si>
  <si>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</si>
  <si>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</si>
  <si>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</si>
  <si>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</si>
  <si>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</si>
  <si>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</si>
  <si>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</si>
  <si>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</si>
  <si>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</si>
  <si>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</si>
  <si>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</si>
  <si>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</si>
  <si>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</si>
  <si>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</si>
  <si>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</si>
  <si>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</si>
  <si>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</si>
  <si>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</si>
  <si>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</si>
  <si>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</si>
  <si>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</si>
  <si>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</si>
  <si>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</si>
  <si>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</si>
  <si>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</si>
  <si>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</si>
  <si>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</si>
  <si>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</si>
  <si>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</si>
  <si>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</si>
  <si>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</si>
  <si>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</si>
  <si>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</si>
  <si>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</si>
  <si>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</si>
  <si>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</si>
  <si>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</si>
  <si>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</si>
  <si>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</si>
  <si>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</si>
  <si>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</si>
  <si>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</si>
  <si>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</si>
  <si>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</si>
  <si>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</si>
  <si>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</si>
  <si>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</si>
  <si>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</si>
  <si>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</si>
  <si>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</si>
  <si>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</si>
  <si>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</si>
  <si>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</si>
  <si>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</si>
  <si>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</si>
  <si>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</si>
  <si>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</si>
  <si>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</si>
  <si>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</si>
  <si>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</si>
  <si>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</si>
  <si>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</si>
  <si>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</si>
  <si>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</si>
  <si>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</si>
  <si>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</si>
  <si>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</si>
  <si>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</si>
  <si>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</si>
  <si>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</si>
  <si>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</si>
  <si>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</si>
  <si>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</si>
  <si>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</si>
  <si>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</si>
  <si>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</si>
  <si>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</si>
  <si>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</si>
  <si>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</si>
  <si>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</si>
  <si>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</si>
  <si>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</si>
  <si>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</si>
  <si>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</si>
  <si>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</si>
  <si>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</si>
  <si>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</si>
  <si>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</si>
  <si>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</si>
  <si>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</si>
  <si>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</si>
  <si>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</si>
  <si>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</si>
  <si>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</si>
  <si>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</si>
  <si>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</si>
  <si>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</si>
  <si>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</si>
  <si>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</si>
  <si>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</si>
  <si>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</si>
  <si>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</si>
  <si>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</si>
  <si>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</si>
  <si>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</si>
  <si>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</si>
  <si>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</si>
  <si>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</si>
  <si>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</si>
  <si>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</si>
  <si>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</si>
  <si>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</si>
  <si>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</si>
  <si>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</si>
  <si>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</si>
  <si>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</si>
  <si>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</si>
  <si>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</si>
  <si>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</si>
  <si>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</si>
  <si>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</si>
  <si>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</si>
  <si>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</si>
  <si>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</si>
  <si>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</si>
  <si>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</si>
  <si>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</si>
  <si>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</si>
  <si>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</si>
  <si>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</si>
  <si>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</si>
  <si>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</si>
  <si>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</si>
  <si>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</si>
  <si>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</si>
  <si>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</si>
  <si>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</si>
  <si>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</si>
  <si>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</si>
  <si>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</si>
  <si>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</si>
  <si>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</si>
  <si>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</si>
  <si>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</si>
  <si>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</si>
  <si>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</si>
  <si>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</si>
  <si>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</si>
  <si>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</si>
  <si>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</si>
  <si>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</si>
  <si>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</si>
  <si>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</si>
  <si>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</si>
  <si>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</si>
  <si>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</si>
  <si>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</si>
  <si>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</si>
  <si>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</si>
  <si>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</si>
  <si>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</si>
  <si>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</si>
  <si>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</si>
  <si>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</si>
  <si>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</si>
  <si>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Дворецкий Дмитрий Викторович</t>
  </si>
  <si>
    <t>https://t.me/zzomer</t>
  </si>
  <si>
    <t>Демьянович Николай Олегович</t>
  </si>
  <si>
    <t>https://t.me/nick.demy</t>
  </si>
  <si>
    <t>Балаково</t>
  </si>
  <si>
    <t>Чиквиладзе Лали Левановна</t>
  </si>
  <si>
    <t>@LaLi19_07</t>
  </si>
  <si>
    <t>Бомеева Екатерина Сергеевна</t>
  </si>
  <si>
    <t>https://t.me/Katrin_rzn</t>
  </si>
  <si>
    <t xml:space="preserve">Рязанская область </t>
  </si>
  <si>
    <t xml:space="preserve">Рязань </t>
  </si>
  <si>
    <t>Гарипова Асия Жаудатовна</t>
  </si>
  <si>
    <t>https://t.me/etelindaaa</t>
  </si>
  <si>
    <t>Воронков Алексей Павлович</t>
  </si>
  <si>
    <t>@patriot9000</t>
  </si>
  <si>
    <t>Еврасов Антон Александрович</t>
  </si>
  <si>
    <t>@Anton_Evrasov</t>
  </si>
  <si>
    <t>Карпенко Людмила Константиновна</t>
  </si>
  <si>
    <t>Lusik88</t>
  </si>
  <si>
    <t>Поминов Максим Александрович</t>
  </si>
  <si>
    <t>https://t.me/Pominov29</t>
  </si>
  <si>
    <t>Соломатов Артем Андреевич</t>
  </si>
  <si>
    <t>@Korroder</t>
  </si>
  <si>
    <t>Ильина Марина Владимировна</t>
  </si>
  <si>
    <t xml:space="preserve">@zxxfor2na </t>
  </si>
  <si>
    <t>Летунов Юрий Николаевич</t>
  </si>
  <si>
    <t>https://t.me/letun15</t>
  </si>
  <si>
    <t>Курганская область</t>
  </si>
  <si>
    <t>Курган</t>
  </si>
  <si>
    <t>Алиуллов Ринат Наилевич</t>
  </si>
  <si>
    <t xml:space="preserve">Татарстан </t>
  </si>
  <si>
    <t>Булатова Татьяна Дмитриевна</t>
  </si>
  <si>
    <t>@tdmitrievna</t>
  </si>
  <si>
    <t>Тюфтяева Мария Андреевна</t>
  </si>
  <si>
    <t>@masha_tf</t>
  </si>
  <si>
    <t>Нижегородский</t>
  </si>
  <si>
    <t>Степанова Наталья Сергеевна</t>
  </si>
  <si>
    <t xml:space="preserve">@st_ns </t>
  </si>
  <si>
    <t xml:space="preserve">Ульяновская обл </t>
  </si>
  <si>
    <t xml:space="preserve">Ульяновск </t>
  </si>
  <si>
    <t>Гомоюнова Дарья Олеговна</t>
  </si>
  <si>
    <t xml:space="preserve">@Daria_Gomoiunova </t>
  </si>
  <si>
    <t xml:space="preserve">Иркутск </t>
  </si>
  <si>
    <t>Кудинов Кирилл Юрьевич</t>
  </si>
  <si>
    <t>https://t.me/NecrisPhayder</t>
  </si>
  <si>
    <t>Юркина Марина Андреевна</t>
  </si>
  <si>
    <t>@Marina881712</t>
  </si>
  <si>
    <t xml:space="preserve">Каменск-Уральский </t>
  </si>
  <si>
    <t>Пак Валерия Тесуевна</t>
  </si>
  <si>
    <t>профиль - @IPValeriya</t>
  </si>
  <si>
    <t>Величко Елена Андреевна</t>
  </si>
  <si>
    <t>@HelenVelichko89</t>
  </si>
  <si>
    <t>Плиткина Елена Николаевна</t>
  </si>
  <si>
    <t>@EeLenaPl</t>
  </si>
  <si>
    <t xml:space="preserve">Санкт-Петербург и Ленинградская обл </t>
  </si>
  <si>
    <t>Копылов Андрей Александрович</t>
  </si>
  <si>
    <t>@BearBeerBee</t>
  </si>
  <si>
    <t>Смоленская область</t>
  </si>
  <si>
    <t>Смоленск</t>
  </si>
  <si>
    <t>Брант Полина Борисовна</t>
  </si>
  <si>
    <t>@PolinaBrant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</si>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</sst>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horizontal="right" readingOrder="0" vertical="bottom"/>
    </xf>
    <xf borderId="0" fillId="12" fontId="4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84" Type="http://schemas.openxmlformats.org/officeDocument/2006/relationships/hyperlink" Target="https://t.me/Katrin_rzn" TargetMode="External"/><Relationship Id="rId83" Type="http://schemas.openxmlformats.org/officeDocument/2006/relationships/hyperlink" Target="https://t.me/nick.demy" TargetMode="External"/><Relationship Id="rId42" Type="http://schemas.openxmlformats.org/officeDocument/2006/relationships/hyperlink" Target="https://t.me/@Obuhova_N" TargetMode="External"/><Relationship Id="rId86" Type="http://schemas.openxmlformats.org/officeDocument/2006/relationships/hyperlink" Target="https://t.me/Pominov29" TargetMode="External"/><Relationship Id="rId41" Type="http://schemas.openxmlformats.org/officeDocument/2006/relationships/hyperlink" Target="https://t.me/MelTaniaNikova" TargetMode="External"/><Relationship Id="rId85" Type="http://schemas.openxmlformats.org/officeDocument/2006/relationships/hyperlink" Target="https://t.me/etelindaaa" TargetMode="External"/><Relationship Id="rId44" Type="http://schemas.openxmlformats.org/officeDocument/2006/relationships/hyperlink" Target="https://t.me/@bonae_no_meretrix" TargetMode="External"/><Relationship Id="rId88" Type="http://schemas.openxmlformats.org/officeDocument/2006/relationships/hyperlink" Target="https://t.me/NecrisPhayder" TargetMode="External"/><Relationship Id="rId43" Type="http://schemas.openxmlformats.org/officeDocument/2006/relationships/hyperlink" Target="https://t.me/badya_Sandu" TargetMode="External"/><Relationship Id="rId87" Type="http://schemas.openxmlformats.org/officeDocument/2006/relationships/hyperlink" Target="https://t.me/letun15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89" Type="http://schemas.openxmlformats.org/officeDocument/2006/relationships/drawing" Target="../drawings/drawing1.xml"/><Relationship Id="rId80" Type="http://schemas.openxmlformats.org/officeDocument/2006/relationships/hyperlink" Target="https://t.me/dainerissss" TargetMode="External"/><Relationship Id="rId82" Type="http://schemas.openxmlformats.org/officeDocument/2006/relationships/hyperlink" Target="https://t.me/zzomer" TargetMode="Externa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hyperlink" Target="https://t.me/soulfinfer" TargetMode="Externa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79" Type="http://schemas.openxmlformats.org/officeDocument/2006/relationships/hyperlink" Target="https://t.me/zanozkin" TargetMode="External"/><Relationship Id="rId34" Type="http://schemas.openxmlformats.org/officeDocument/2006/relationships/hyperlink" Target="https://t.me/Kseniaa555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128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135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120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126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1</v>
      </c>
      <c r="J12" s="13" t="s">
        <v>39</v>
      </c>
      <c r="K12" s="13" t="s">
        <v>48</v>
      </c>
      <c r="L12" s="26" t="s">
        <v>86</v>
      </c>
      <c r="M12" s="13" t="s">
        <v>48</v>
      </c>
      <c r="N12" s="13"/>
      <c r="O12" s="13"/>
      <c r="P12" s="25" t="s">
        <v>33</v>
      </c>
      <c r="Q12" s="25" t="s">
        <v>33</v>
      </c>
      <c r="R12" s="25" t="s">
        <v>33</v>
      </c>
      <c r="S12" s="25" t="s">
        <v>33</v>
      </c>
      <c r="T12" s="25" t="s">
        <v>33</v>
      </c>
      <c r="U12" s="25" t="s">
        <v>33</v>
      </c>
    </row>
    <row r="13">
      <c r="A13" s="13" t="s">
        <v>87</v>
      </c>
      <c r="B13" s="13" t="s">
        <v>88</v>
      </c>
      <c r="C13" s="14">
        <v>8.9088969532E10</v>
      </c>
      <c r="D13" s="13" t="s">
        <v>52</v>
      </c>
      <c r="E13" s="13" t="s">
        <v>89</v>
      </c>
      <c r="F13" s="13" t="s">
        <v>90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91</v>
      </c>
      <c r="B14" s="20" t="s">
        <v>92</v>
      </c>
      <c r="C14" s="14">
        <v>8.915792384E10</v>
      </c>
      <c r="D14" s="13" t="s">
        <v>23</v>
      </c>
      <c r="E14" s="13" t="s">
        <v>93</v>
      </c>
      <c r="F14" s="13" t="s">
        <v>94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7"/>
      <c r="W14" s="27"/>
      <c r="Y14" s="27"/>
    </row>
    <row r="15">
      <c r="A15" s="13" t="s">
        <v>95</v>
      </c>
      <c r="B15" s="13" t="s">
        <v>96</v>
      </c>
      <c r="C15" s="14">
        <v>8.9178876516E10</v>
      </c>
      <c r="D15" s="13" t="s">
        <v>52</v>
      </c>
      <c r="E15" s="13" t="s">
        <v>97</v>
      </c>
      <c r="F15" s="13" t="s">
        <v>98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7"/>
      <c r="W15" s="27"/>
      <c r="Y15" s="27"/>
    </row>
    <row r="16">
      <c r="A16" s="28" t="s">
        <v>99</v>
      </c>
      <c r="B16" s="13" t="s">
        <v>100</v>
      </c>
      <c r="C16" s="14">
        <v>8.9087273237E10</v>
      </c>
      <c r="D16" s="13" t="s">
        <v>23</v>
      </c>
      <c r="E16" s="13" t="s">
        <v>101</v>
      </c>
      <c r="F16" s="13" t="s">
        <v>101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7"/>
      <c r="W16" s="27"/>
      <c r="Y16" s="27"/>
    </row>
    <row r="17">
      <c r="A17" s="13" t="s">
        <v>102</v>
      </c>
      <c r="B17" s="13" t="s">
        <v>103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7"/>
      <c r="W17" s="27"/>
      <c r="Y17" s="27"/>
    </row>
    <row r="18">
      <c r="A18" s="13" t="s">
        <v>104</v>
      </c>
      <c r="B18" s="20" t="s">
        <v>105</v>
      </c>
      <c r="C18" s="14">
        <v>8.9045575058E10</v>
      </c>
      <c r="D18" s="13" t="s">
        <v>23</v>
      </c>
      <c r="E18" s="13" t="s">
        <v>106</v>
      </c>
      <c r="F18" s="13" t="s">
        <v>107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7"/>
      <c r="W18" s="27"/>
      <c r="Y18" s="27"/>
    </row>
    <row r="19">
      <c r="A19" s="13" t="s">
        <v>108</v>
      </c>
      <c r="B19" s="13" t="s">
        <v>109</v>
      </c>
      <c r="C19" s="14">
        <v>8.9279224382E10</v>
      </c>
      <c r="D19" s="13" t="s">
        <v>23</v>
      </c>
      <c r="E19" s="13" t="s">
        <v>110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111</v>
      </c>
      <c r="B20" s="13" t="s">
        <v>112</v>
      </c>
      <c r="C20" s="14">
        <v>8.9027838373E10</v>
      </c>
      <c r="D20" s="13" t="s">
        <v>23</v>
      </c>
      <c r="E20" s="13" t="s">
        <v>113</v>
      </c>
      <c r="F20" s="13" t="s">
        <v>114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115</v>
      </c>
      <c r="B21" s="20" t="s">
        <v>116</v>
      </c>
      <c r="C21" s="14">
        <v>8.9155423781E10</v>
      </c>
      <c r="D21" s="13" t="s">
        <v>23</v>
      </c>
      <c r="E21" s="13" t="s">
        <v>117</v>
      </c>
      <c r="F21" s="13" t="s">
        <v>118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119</v>
      </c>
      <c r="B22" s="13" t="s">
        <v>120</v>
      </c>
      <c r="C22" s="14">
        <v>8.9050507937E10</v>
      </c>
      <c r="D22" s="13" t="s">
        <v>52</v>
      </c>
      <c r="E22" s="13" t="s">
        <v>121</v>
      </c>
      <c r="F22" s="13" t="s">
        <v>122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123</v>
      </c>
      <c r="B23" s="13" t="s">
        <v>124</v>
      </c>
      <c r="C23" s="14">
        <v>8.9087443413E10</v>
      </c>
      <c r="D23" s="13" t="s">
        <v>23</v>
      </c>
      <c r="E23" s="13" t="s">
        <v>113</v>
      </c>
      <c r="F23" s="13" t="s">
        <v>125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126</v>
      </c>
      <c r="B24" s="13" t="s">
        <v>127</v>
      </c>
      <c r="C24" s="14">
        <v>8.912600083E10</v>
      </c>
      <c r="D24" s="13" t="s">
        <v>52</v>
      </c>
      <c r="E24" s="13" t="s">
        <v>128</v>
      </c>
      <c r="F24" s="13" t="s">
        <v>129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130</v>
      </c>
      <c r="B25" s="13" t="s">
        <v>131</v>
      </c>
      <c r="C25" s="14">
        <v>8.9270807999E10</v>
      </c>
      <c r="D25" s="13" t="s">
        <v>52</v>
      </c>
      <c r="E25" s="13" t="s">
        <v>132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133</v>
      </c>
      <c r="B26" s="13" t="s">
        <v>134</v>
      </c>
      <c r="C26" s="14">
        <v>8.926561274E10</v>
      </c>
      <c r="D26" s="13" t="s">
        <v>23</v>
      </c>
      <c r="E26" s="13" t="s">
        <v>135</v>
      </c>
      <c r="F26" s="13" t="s">
        <v>136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137</v>
      </c>
      <c r="B27" s="20" t="s">
        <v>138</v>
      </c>
      <c r="C27" s="14">
        <v>8.9135864648E10</v>
      </c>
      <c r="D27" s="13" t="s">
        <v>23</v>
      </c>
      <c r="E27" s="13" t="s">
        <v>139</v>
      </c>
      <c r="F27" s="13" t="s">
        <v>140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141</v>
      </c>
      <c r="B28" s="13" t="s">
        <v>142</v>
      </c>
      <c r="C28" s="14">
        <v>8.9522703999E10</v>
      </c>
      <c r="D28" s="13" t="s">
        <v>23</v>
      </c>
      <c r="E28" s="13" t="s">
        <v>143</v>
      </c>
      <c r="F28" s="13" t="s">
        <v>144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145</v>
      </c>
      <c r="B29" s="13" t="s">
        <v>146</v>
      </c>
      <c r="C29" s="14">
        <v>8.9053939977E10</v>
      </c>
      <c r="D29" s="13" t="s">
        <v>23</v>
      </c>
      <c r="E29" s="13" t="s">
        <v>147</v>
      </c>
      <c r="F29" s="13" t="s">
        <v>148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149</v>
      </c>
      <c r="B30" s="20" t="s">
        <v>150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151</v>
      </c>
      <c r="B31" s="13" t="s">
        <v>152</v>
      </c>
      <c r="C31" s="14">
        <v>8.9012849535E10</v>
      </c>
      <c r="D31" s="13" t="s">
        <v>52</v>
      </c>
      <c r="E31" s="13" t="s">
        <v>153</v>
      </c>
      <c r="F31" s="13" t="s">
        <v>154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155</v>
      </c>
      <c r="B32" s="13" t="s">
        <v>156</v>
      </c>
      <c r="C32" s="14">
        <v>8.9649669677E10</v>
      </c>
      <c r="D32" s="13" t="s">
        <v>23</v>
      </c>
      <c r="E32" s="13" t="s">
        <v>157</v>
      </c>
      <c r="F32" s="13" t="s">
        <v>158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159</v>
      </c>
      <c r="B33" s="20" t="s">
        <v>160</v>
      </c>
      <c r="C33" s="14">
        <v>8.9523546538E10</v>
      </c>
      <c r="D33" s="13" t="s">
        <v>52</v>
      </c>
      <c r="E33" s="13" t="s">
        <v>161</v>
      </c>
      <c r="F33" s="13" t="s">
        <v>161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162</v>
      </c>
      <c r="B34" s="13" t="s">
        <v>163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164</v>
      </c>
      <c r="B35" s="13" t="s">
        <v>165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166</v>
      </c>
      <c r="B36" s="20" t="s">
        <v>167</v>
      </c>
      <c r="C36" s="14">
        <v>8.9290220229E10</v>
      </c>
      <c r="D36" s="13" t="s">
        <v>23</v>
      </c>
      <c r="E36" s="14">
        <v>32.0</v>
      </c>
      <c r="F36" s="13" t="s">
        <v>168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169</v>
      </c>
      <c r="B37" s="20" t="s">
        <v>170</v>
      </c>
      <c r="C37" s="14">
        <v>8.9520522216E10</v>
      </c>
      <c r="D37" s="13" t="s">
        <v>23</v>
      </c>
      <c r="E37" s="13" t="s">
        <v>171</v>
      </c>
      <c r="F37" s="13" t="s">
        <v>172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173</v>
      </c>
      <c r="B38" s="20" t="s">
        <v>174</v>
      </c>
      <c r="C38" s="14">
        <v>8.9601483424E10</v>
      </c>
      <c r="D38" s="13" t="s">
        <v>23</v>
      </c>
      <c r="E38" s="13" t="s">
        <v>161</v>
      </c>
      <c r="F38" s="13" t="s">
        <v>161</v>
      </c>
      <c r="G38" s="13" t="s">
        <v>26</v>
      </c>
      <c r="H38" s="14">
        <v>47.0</v>
      </c>
      <c r="I38" s="14">
        <f t="shared" si="1"/>
        <v>4</v>
      </c>
      <c r="J38" s="26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175</v>
      </c>
      <c r="B39" s="20" t="s">
        <v>176</v>
      </c>
      <c r="C39" s="14">
        <v>8.9656092161E10</v>
      </c>
      <c r="D39" s="13" t="s">
        <v>52</v>
      </c>
      <c r="E39" s="13" t="s">
        <v>97</v>
      </c>
      <c r="F39" s="13" t="s">
        <v>177</v>
      </c>
      <c r="G39" s="13" t="s">
        <v>26</v>
      </c>
      <c r="H39" s="14">
        <v>25.0</v>
      </c>
      <c r="I39" s="14">
        <f t="shared" si="1"/>
        <v>4</v>
      </c>
      <c r="J39" s="26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178</v>
      </c>
      <c r="B40" s="20" t="s">
        <v>179</v>
      </c>
      <c r="C40" s="14">
        <v>8.9127602734E10</v>
      </c>
      <c r="D40" s="13" t="s">
        <v>23</v>
      </c>
      <c r="E40" s="13" t="s">
        <v>180</v>
      </c>
      <c r="F40" s="13" t="s">
        <v>181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182</v>
      </c>
      <c r="B41" s="20" t="s">
        <v>183</v>
      </c>
      <c r="C41" s="14">
        <v>8.9627586248E10</v>
      </c>
      <c r="D41" s="13" t="s">
        <v>23</v>
      </c>
      <c r="E41" s="13" t="s">
        <v>184</v>
      </c>
      <c r="F41" s="13" t="s">
        <v>185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186</v>
      </c>
      <c r="B42" s="13" t="s">
        <v>187</v>
      </c>
      <c r="C42" s="14">
        <v>8.9997858443E10</v>
      </c>
      <c r="D42" s="13" t="s">
        <v>52</v>
      </c>
      <c r="E42" s="13" t="s">
        <v>188</v>
      </c>
      <c r="F42" s="13" t="s">
        <v>189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190</v>
      </c>
      <c r="B43" s="13" t="s">
        <v>191</v>
      </c>
      <c r="C43" s="14">
        <v>8.993562109E10</v>
      </c>
      <c r="D43" s="13" t="s">
        <v>23</v>
      </c>
      <c r="E43" s="13" t="s">
        <v>192</v>
      </c>
      <c r="F43" s="13" t="s">
        <v>193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194</v>
      </c>
      <c r="B44" s="20" t="s">
        <v>195</v>
      </c>
      <c r="C44" s="14">
        <v>8.9371400349E10</v>
      </c>
      <c r="D44" s="13" t="s">
        <v>23</v>
      </c>
      <c r="E44" s="13" t="s">
        <v>147</v>
      </c>
      <c r="F44" s="13" t="s">
        <v>196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197</v>
      </c>
      <c r="B45" s="13" t="s">
        <v>198</v>
      </c>
      <c r="C45" s="14">
        <v>8.9198366717E10</v>
      </c>
      <c r="D45" s="13" t="s">
        <v>23</v>
      </c>
      <c r="E45" s="13" t="s">
        <v>199</v>
      </c>
      <c r="F45" s="13" t="s">
        <v>148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200</v>
      </c>
      <c r="B46" s="13" t="s">
        <v>201</v>
      </c>
      <c r="C46" s="14">
        <v>8.9277422165E10</v>
      </c>
      <c r="D46" s="13" t="s">
        <v>23</v>
      </c>
      <c r="E46" s="13" t="s">
        <v>202</v>
      </c>
      <c r="F46" s="13" t="s">
        <v>202</v>
      </c>
      <c r="G46" s="13" t="s">
        <v>26</v>
      </c>
      <c r="H46" s="14">
        <v>37.0</v>
      </c>
      <c r="I46" s="14">
        <f t="shared" si="1"/>
        <v>3</v>
      </c>
      <c r="J46" s="26" t="s">
        <v>27</v>
      </c>
      <c r="K46" s="13" t="s">
        <v>39</v>
      </c>
      <c r="L46" s="13" t="s">
        <v>48</v>
      </c>
      <c r="M46" s="13" t="s">
        <v>27</v>
      </c>
      <c r="N46" s="13" t="s">
        <v>31</v>
      </c>
      <c r="O46" s="13" t="s">
        <v>32</v>
      </c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203</v>
      </c>
      <c r="B47" s="13" t="s">
        <v>204</v>
      </c>
      <c r="C47" s="14">
        <v>8.9930204203E10</v>
      </c>
      <c r="D47" s="13" t="s">
        <v>23</v>
      </c>
      <c r="E47" s="13" t="s">
        <v>205</v>
      </c>
      <c r="F47" s="13" t="s">
        <v>206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207</v>
      </c>
      <c r="B48" s="18" t="s">
        <v>208</v>
      </c>
      <c r="C48" s="14">
        <v>8.9197329022E10</v>
      </c>
      <c r="D48" s="13" t="s">
        <v>23</v>
      </c>
      <c r="E48" s="13" t="s">
        <v>209</v>
      </c>
      <c r="F48" s="13" t="s">
        <v>210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211</v>
      </c>
      <c r="B49" s="13" t="s">
        <v>212</v>
      </c>
      <c r="C49" s="14">
        <v>8.913010014E10</v>
      </c>
      <c r="D49" s="13" t="s">
        <v>23</v>
      </c>
      <c r="E49" s="13" t="s">
        <v>213</v>
      </c>
      <c r="F49" s="13" t="s">
        <v>213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214</v>
      </c>
      <c r="B50" s="13" t="s">
        <v>215</v>
      </c>
      <c r="C50" s="14">
        <v>8.903806837E10</v>
      </c>
      <c r="D50" s="13" t="s">
        <v>23</v>
      </c>
      <c r="E50" s="13" t="s">
        <v>216</v>
      </c>
      <c r="F50" s="13" t="s">
        <v>217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218</v>
      </c>
      <c r="B51" s="13" t="s">
        <v>219</v>
      </c>
      <c r="C51" s="14">
        <v>8.9052917856E10</v>
      </c>
      <c r="D51" s="13" t="s">
        <v>23</v>
      </c>
      <c r="E51" s="13" t="s">
        <v>220</v>
      </c>
      <c r="F51" s="13" t="s">
        <v>221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222</v>
      </c>
      <c r="B52" s="13" t="s">
        <v>223</v>
      </c>
      <c r="C52" s="14">
        <v>8.9507304422E10</v>
      </c>
      <c r="D52" s="13" t="s">
        <v>52</v>
      </c>
      <c r="E52" s="13" t="s">
        <v>224</v>
      </c>
      <c r="F52" s="13" t="s">
        <v>225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6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226</v>
      </c>
      <c r="B53" s="13" t="s">
        <v>227</v>
      </c>
      <c r="C53" s="14">
        <v>8.9092265685E10</v>
      </c>
      <c r="D53" s="13" t="s">
        <v>52</v>
      </c>
      <c r="E53" s="13" t="s">
        <v>228</v>
      </c>
      <c r="F53" s="13" t="s">
        <v>229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230</v>
      </c>
      <c r="B54" s="20" t="s">
        <v>231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27</v>
      </c>
      <c r="K54" s="13" t="s">
        <v>48</v>
      </c>
      <c r="L54" s="13" t="s">
        <v>27</v>
      </c>
      <c r="M54" s="13" t="s">
        <v>27</v>
      </c>
      <c r="N54" s="13" t="s">
        <v>40</v>
      </c>
      <c r="O54" s="13" t="s">
        <v>30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232</v>
      </c>
      <c r="B55" s="13" t="s">
        <v>233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6" t="s">
        <v>27</v>
      </c>
      <c r="K55" s="13" t="s">
        <v>27</v>
      </c>
      <c r="L55" s="13" t="s">
        <v>39</v>
      </c>
      <c r="M55" s="26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234</v>
      </c>
      <c r="B56" s="13" t="s">
        <v>235</v>
      </c>
      <c r="C56" s="14">
        <v>8.9266007193E10</v>
      </c>
      <c r="D56" s="13" t="s">
        <v>23</v>
      </c>
      <c r="E56" s="13" t="s">
        <v>77</v>
      </c>
      <c r="F56" s="13" t="s">
        <v>236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237</v>
      </c>
      <c r="B57" s="20" t="s">
        <v>238</v>
      </c>
      <c r="C57" s="14">
        <v>8.9205844695E10</v>
      </c>
      <c r="D57" s="13" t="s">
        <v>23</v>
      </c>
      <c r="E57" s="13" t="s">
        <v>239</v>
      </c>
      <c r="F57" s="13" t="s">
        <v>240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241</v>
      </c>
      <c r="B58" s="20" t="s">
        <v>242</v>
      </c>
      <c r="C58" s="14">
        <v>8.9616748559E10</v>
      </c>
      <c r="D58" s="13" t="s">
        <v>52</v>
      </c>
      <c r="E58" s="13" t="s">
        <v>184</v>
      </c>
      <c r="F58" s="13" t="s">
        <v>243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244</v>
      </c>
      <c r="B59" s="13" t="s">
        <v>245</v>
      </c>
      <c r="C59" s="14">
        <v>8.9279007996E10</v>
      </c>
      <c r="D59" s="13" t="s">
        <v>23</v>
      </c>
      <c r="E59" s="13" t="s">
        <v>246</v>
      </c>
      <c r="F59" s="13" t="s">
        <v>247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248</v>
      </c>
      <c r="B60" s="13" t="s">
        <v>249</v>
      </c>
      <c r="C60" s="14">
        <v>8.9202209701E10</v>
      </c>
      <c r="D60" s="13" t="s">
        <v>52</v>
      </c>
      <c r="E60" s="13" t="s">
        <v>121</v>
      </c>
      <c r="F60" s="13" t="s">
        <v>118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250</v>
      </c>
      <c r="B61" s="13" t="s">
        <v>251</v>
      </c>
      <c r="C61" s="14">
        <v>8.9538619255E10</v>
      </c>
      <c r="D61" s="13" t="s">
        <v>23</v>
      </c>
      <c r="E61" s="13" t="s">
        <v>252</v>
      </c>
      <c r="F61" s="13" t="s">
        <v>206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253</v>
      </c>
      <c r="B62" s="13" t="s">
        <v>254</v>
      </c>
      <c r="C62" s="14">
        <v>8.9819760959E10</v>
      </c>
      <c r="D62" s="13" t="s">
        <v>23</v>
      </c>
      <c r="E62" s="13" t="s">
        <v>144</v>
      </c>
      <c r="F62" s="13" t="s">
        <v>144</v>
      </c>
      <c r="G62" s="13" t="s">
        <v>26</v>
      </c>
      <c r="H62" s="14">
        <v>51.0</v>
      </c>
      <c r="I62" s="26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255</v>
      </c>
      <c r="B63" s="20" t="s">
        <v>256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27</v>
      </c>
      <c r="K63" s="13" t="s">
        <v>27</v>
      </c>
      <c r="L63" s="13" t="s">
        <v>27</v>
      </c>
      <c r="M63" s="13" t="s">
        <v>28</v>
      </c>
      <c r="N63" s="13" t="s">
        <v>40</v>
      </c>
      <c r="O63" s="13" t="s">
        <v>32</v>
      </c>
      <c r="P63" s="13" t="s">
        <v>29</v>
      </c>
      <c r="Q63" s="13" t="s">
        <v>31</v>
      </c>
      <c r="R63" s="13" t="s">
        <v>40</v>
      </c>
      <c r="S63" s="13" t="s">
        <v>32</v>
      </c>
      <c r="T63" s="25" t="s">
        <v>33</v>
      </c>
      <c r="U63" s="25" t="s">
        <v>33</v>
      </c>
    </row>
    <row r="64">
      <c r="A64" s="13" t="s">
        <v>257</v>
      </c>
      <c r="B64" s="20" t="s">
        <v>258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259</v>
      </c>
      <c r="B65" s="13" t="s">
        <v>260</v>
      </c>
      <c r="C65" s="14">
        <v>8.926124638E10</v>
      </c>
      <c r="D65" s="13" t="s">
        <v>23</v>
      </c>
      <c r="E65" s="13" t="s">
        <v>261</v>
      </c>
      <c r="F65" s="13" t="s">
        <v>262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263</v>
      </c>
      <c r="B66" s="13" t="s">
        <v>264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265</v>
      </c>
      <c r="B67" s="13" t="s">
        <v>266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267</v>
      </c>
      <c r="B68" s="13" t="s">
        <v>268</v>
      </c>
      <c r="C68" s="14">
        <v>8.9130729982E10</v>
      </c>
      <c r="D68" s="13" t="s">
        <v>23</v>
      </c>
      <c r="E68" s="13" t="s">
        <v>269</v>
      </c>
      <c r="F68" s="13" t="s">
        <v>270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6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271</v>
      </c>
      <c r="B69" s="13" t="s">
        <v>272</v>
      </c>
      <c r="C69" s="14">
        <v>8.9132640662E10</v>
      </c>
      <c r="D69" s="13" t="s">
        <v>23</v>
      </c>
      <c r="E69" s="13" t="s">
        <v>273</v>
      </c>
      <c r="F69" s="13" t="s">
        <v>274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275</v>
      </c>
      <c r="B70" s="20" t="s">
        <v>276</v>
      </c>
      <c r="C70" s="14">
        <v>8.9247517592E10</v>
      </c>
      <c r="D70" s="13" t="s">
        <v>23</v>
      </c>
      <c r="E70" s="13" t="s">
        <v>277</v>
      </c>
      <c r="F70" s="13" t="s">
        <v>278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279</v>
      </c>
      <c r="B71" s="13" t="s">
        <v>280</v>
      </c>
      <c r="C71" s="14">
        <v>8.964479124E10</v>
      </c>
      <c r="D71" s="13" t="s">
        <v>52</v>
      </c>
      <c r="E71" s="13" t="s">
        <v>281</v>
      </c>
      <c r="F71" s="13" t="s">
        <v>144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282</v>
      </c>
      <c r="B72" s="20" t="s">
        <v>283</v>
      </c>
      <c r="C72" s="14">
        <v>8.9112770365E10</v>
      </c>
      <c r="D72" s="13" t="s">
        <v>23</v>
      </c>
      <c r="E72" s="13" t="s">
        <v>161</v>
      </c>
      <c r="F72" s="13" t="s">
        <v>161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284</v>
      </c>
      <c r="B73" s="20" t="s">
        <v>285</v>
      </c>
      <c r="C73" s="14">
        <v>8.9687946825E10</v>
      </c>
      <c r="D73" s="13" t="s">
        <v>23</v>
      </c>
      <c r="E73" s="13" t="s">
        <v>286</v>
      </c>
      <c r="F73" s="13" t="s">
        <v>144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287</v>
      </c>
      <c r="B74" s="13" t="s">
        <v>288</v>
      </c>
      <c r="C74" s="14">
        <v>8.9527350033E10</v>
      </c>
      <c r="D74" s="13" t="s">
        <v>23</v>
      </c>
      <c r="E74" s="13" t="s">
        <v>289</v>
      </c>
      <c r="F74" s="13" t="s">
        <v>290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291</v>
      </c>
      <c r="B75" s="13" t="s">
        <v>292</v>
      </c>
      <c r="C75" s="14">
        <v>8.9785537466E10</v>
      </c>
      <c r="D75" s="13" t="s">
        <v>23</v>
      </c>
      <c r="E75" s="13" t="s">
        <v>293</v>
      </c>
      <c r="F75" s="13" t="s">
        <v>294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295</v>
      </c>
      <c r="B76" s="13" t="s">
        <v>296</v>
      </c>
      <c r="C76" s="14">
        <v>8.9179331863E10</v>
      </c>
      <c r="D76" s="13" t="s">
        <v>23</v>
      </c>
      <c r="E76" s="13" t="s">
        <v>297</v>
      </c>
      <c r="F76" s="13" t="s">
        <v>298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299</v>
      </c>
      <c r="B77" s="13" t="s">
        <v>300</v>
      </c>
      <c r="C77" s="14">
        <v>8.981918381E10</v>
      </c>
      <c r="D77" s="13" t="s">
        <v>52</v>
      </c>
      <c r="E77" s="13" t="s">
        <v>161</v>
      </c>
      <c r="F77" s="13" t="s">
        <v>161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301</v>
      </c>
      <c r="B78" s="13" t="s">
        <v>302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303</v>
      </c>
      <c r="B79" s="13" t="s">
        <v>304</v>
      </c>
      <c r="C79" s="14">
        <v>8.9997059291E10</v>
      </c>
      <c r="D79" s="13" t="s">
        <v>52</v>
      </c>
      <c r="E79" s="13" t="s">
        <v>228</v>
      </c>
      <c r="F79" s="13" t="s">
        <v>305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306</v>
      </c>
      <c r="B80" s="13" t="s">
        <v>307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308</v>
      </c>
      <c r="B81" s="13" t="s">
        <v>309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310</v>
      </c>
      <c r="B82" s="13" t="s">
        <v>311</v>
      </c>
      <c r="C82" s="14">
        <v>8.9172956229E10</v>
      </c>
      <c r="D82" s="13" t="s">
        <v>23</v>
      </c>
      <c r="E82" s="13" t="s">
        <v>84</v>
      </c>
      <c r="F82" s="13" t="s">
        <v>177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312</v>
      </c>
      <c r="B83" s="13" t="s">
        <v>313</v>
      </c>
      <c r="C83" s="14">
        <v>8.9106545358E10</v>
      </c>
      <c r="D83" s="13" t="s">
        <v>23</v>
      </c>
      <c r="E83" s="13" t="s">
        <v>205</v>
      </c>
      <c r="F83" s="13" t="s">
        <v>314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315</v>
      </c>
      <c r="B84" s="20" t="s">
        <v>316</v>
      </c>
      <c r="C84" s="14">
        <v>8.9061930784E10</v>
      </c>
      <c r="D84" s="13" t="s">
        <v>23</v>
      </c>
      <c r="E84" s="13" t="s">
        <v>317</v>
      </c>
      <c r="F84" s="13" t="s">
        <v>213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318</v>
      </c>
      <c r="B85" s="13" t="s">
        <v>319</v>
      </c>
      <c r="C85" s="14">
        <v>8.985216852E10</v>
      </c>
      <c r="D85" s="13" t="s">
        <v>23</v>
      </c>
      <c r="E85" s="13" t="s">
        <v>36</v>
      </c>
      <c r="F85" s="13" t="s">
        <v>236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320</v>
      </c>
      <c r="B86" s="20" t="s">
        <v>321</v>
      </c>
      <c r="C86" s="14">
        <v>8.9171106075E10</v>
      </c>
      <c r="D86" s="13" t="s">
        <v>23</v>
      </c>
      <c r="E86" s="13" t="s">
        <v>322</v>
      </c>
      <c r="F86" s="13" t="s">
        <v>202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323</v>
      </c>
      <c r="B87" s="13" t="s">
        <v>324</v>
      </c>
      <c r="C87" s="14">
        <v>8.9065573691E10</v>
      </c>
      <c r="D87" s="13" t="s">
        <v>23</v>
      </c>
      <c r="E87" s="13" t="s">
        <v>113</v>
      </c>
      <c r="F87" s="13" t="s">
        <v>125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325</v>
      </c>
      <c r="B88" s="13" t="s">
        <v>326</v>
      </c>
      <c r="C88" s="14">
        <v>8.9228861925E10</v>
      </c>
      <c r="D88" s="13" t="s">
        <v>23</v>
      </c>
      <c r="E88" s="13" t="s">
        <v>327</v>
      </c>
      <c r="F88" s="13" t="s">
        <v>328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329</v>
      </c>
      <c r="B89" s="20" t="s">
        <v>330</v>
      </c>
      <c r="C89" s="14">
        <v>8.9173817627E10</v>
      </c>
      <c r="D89" s="13" t="s">
        <v>23</v>
      </c>
      <c r="E89" s="13" t="s">
        <v>331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332</v>
      </c>
      <c r="B90" s="13" t="s">
        <v>333</v>
      </c>
      <c r="C90" s="14">
        <v>8.9024729922E10</v>
      </c>
      <c r="D90" s="13" t="s">
        <v>23</v>
      </c>
      <c r="E90" s="13" t="s">
        <v>334</v>
      </c>
      <c r="F90" s="13" t="s">
        <v>335</v>
      </c>
      <c r="G90" s="13" t="s">
        <v>38</v>
      </c>
      <c r="H90" s="14">
        <v>47.0</v>
      </c>
      <c r="I90" s="14">
        <f t="shared" si="3"/>
        <v>4</v>
      </c>
      <c r="J90" s="26" t="s">
        <v>27</v>
      </c>
      <c r="K90" s="13" t="s">
        <v>27</v>
      </c>
      <c r="L90" s="13" t="s">
        <v>27</v>
      </c>
      <c r="M90" s="13" t="s">
        <v>27</v>
      </c>
      <c r="N90" s="13" t="s">
        <v>40</v>
      </c>
      <c r="O90" s="13" t="s">
        <v>32</v>
      </c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336</v>
      </c>
      <c r="B91" s="13" t="s">
        <v>337</v>
      </c>
      <c r="C91" s="14">
        <v>8.9667548632E10</v>
      </c>
      <c r="D91" s="13" t="s">
        <v>52</v>
      </c>
      <c r="E91" s="13" t="s">
        <v>161</v>
      </c>
      <c r="F91" s="13" t="s">
        <v>161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338</v>
      </c>
      <c r="B92" s="13" t="s">
        <v>339</v>
      </c>
      <c r="C92" s="14">
        <v>8.9127629383E10</v>
      </c>
      <c r="D92" s="13" t="s">
        <v>23</v>
      </c>
      <c r="E92" s="13" t="s">
        <v>171</v>
      </c>
      <c r="F92" s="13" t="s">
        <v>172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340</v>
      </c>
      <c r="B93" s="13" t="s">
        <v>341</v>
      </c>
      <c r="C93" s="14">
        <v>8.910107075E10</v>
      </c>
      <c r="D93" s="13" t="s">
        <v>23</v>
      </c>
      <c r="E93" s="13" t="s">
        <v>342</v>
      </c>
      <c r="F93" s="13" t="s">
        <v>125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343</v>
      </c>
      <c r="B94" s="13" t="s">
        <v>344</v>
      </c>
      <c r="C94" s="14">
        <v>8.9234380914E10</v>
      </c>
      <c r="D94" s="13" t="s">
        <v>52</v>
      </c>
      <c r="E94" s="13" t="s">
        <v>345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346</v>
      </c>
      <c r="B95" s="20" t="s">
        <v>347</v>
      </c>
      <c r="C95" s="14">
        <v>8.90238138E10</v>
      </c>
      <c r="D95" s="13" t="s">
        <v>23</v>
      </c>
      <c r="E95" s="13" t="s">
        <v>184</v>
      </c>
      <c r="F95" s="13" t="s">
        <v>185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348</v>
      </c>
      <c r="B96" s="13" t="s">
        <v>349</v>
      </c>
      <c r="C96" s="14">
        <v>8.9063900692E10</v>
      </c>
      <c r="D96" s="13" t="s">
        <v>23</v>
      </c>
      <c r="E96" s="13" t="s">
        <v>350</v>
      </c>
      <c r="F96" s="13" t="s">
        <v>351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6" t="s">
        <v>86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144</v>
      </c>
      <c r="F97" s="13" t="s">
        <v>144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184</v>
      </c>
      <c r="F98" s="13" t="s">
        <v>185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21" t="s">
        <v>27</v>
      </c>
      <c r="K103" s="13" t="s">
        <v>27</v>
      </c>
      <c r="L103" s="13" t="s">
        <v>48</v>
      </c>
      <c r="M103" s="13" t="s">
        <v>48</v>
      </c>
      <c r="N103" s="13" t="s">
        <v>29</v>
      </c>
      <c r="O103" s="13" t="s">
        <v>30</v>
      </c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192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144</v>
      </c>
      <c r="F105" s="13" t="s">
        <v>144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6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274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177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274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106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181</v>
      </c>
      <c r="G114" s="13"/>
      <c r="H114" s="13"/>
      <c r="I114" s="14">
        <f>COUNTIF(J114:M114, "Да")</f>
        <v>3</v>
      </c>
      <c r="J114" s="26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297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148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171</v>
      </c>
      <c r="F119" s="13" t="s">
        <v>172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132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177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140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322</v>
      </c>
      <c r="F126" s="13" t="s">
        <v>202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144</v>
      </c>
      <c r="G127" s="13" t="s">
        <v>38</v>
      </c>
      <c r="H127" s="14">
        <v>45.0</v>
      </c>
      <c r="I127" s="26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273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224</v>
      </c>
      <c r="F129" s="13" t="s">
        <v>225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239</v>
      </c>
      <c r="F130" s="13" t="s">
        <v>240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290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342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144</v>
      </c>
      <c r="F140" s="13" t="s">
        <v>144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4</v>
      </c>
      <c r="J141" s="13" t="s">
        <v>27</v>
      </c>
      <c r="K141" s="26" t="s">
        <v>27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13" t="s">
        <v>29</v>
      </c>
      <c r="Q141" s="13" t="s">
        <v>30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121</v>
      </c>
      <c r="F142" s="13" t="s">
        <v>122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335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177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177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144</v>
      </c>
      <c r="F148" s="13" t="s">
        <v>144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 t="s">
        <v>29</v>
      </c>
      <c r="Q150" s="13" t="s">
        <v>31</v>
      </c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157</v>
      </c>
      <c r="F151" s="13" t="s">
        <v>202</v>
      </c>
      <c r="G151" s="13" t="s">
        <v>26</v>
      </c>
      <c r="H151" s="14">
        <v>24.0</v>
      </c>
      <c r="I151" s="14">
        <f t="shared" si="5"/>
        <v>4</v>
      </c>
      <c r="J151" s="13" t="s">
        <v>27</v>
      </c>
      <c r="K151" s="13" t="s">
        <v>27</v>
      </c>
      <c r="L151" s="13" t="s">
        <v>27</v>
      </c>
      <c r="M151" s="13" t="s">
        <v>27</v>
      </c>
      <c r="N151" s="13" t="s">
        <v>29</v>
      </c>
      <c r="O151" s="13" t="s">
        <v>31</v>
      </c>
      <c r="P151" s="13" t="s">
        <v>29</v>
      </c>
      <c r="Q151" s="13" t="s">
        <v>31</v>
      </c>
      <c r="R151" s="13" t="s">
        <v>29</v>
      </c>
      <c r="S151" s="13" t="s">
        <v>31</v>
      </c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199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6" t="s">
        <v>86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342</v>
      </c>
      <c r="F154" s="13" t="s">
        <v>101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290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161</v>
      </c>
      <c r="F160" s="13" t="s">
        <v>161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97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273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188</v>
      </c>
      <c r="F168" s="13" t="s">
        <v>189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121</v>
      </c>
      <c r="F170" s="13" t="s">
        <v>118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228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335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121</v>
      </c>
      <c r="F175" s="13" t="s">
        <v>122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117</v>
      </c>
      <c r="F176" s="13" t="s">
        <v>118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322</v>
      </c>
      <c r="F178" s="13" t="s">
        <v>202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293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144</v>
      </c>
      <c r="F182" s="13" t="s">
        <v>144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171</v>
      </c>
      <c r="F183" s="13" t="s">
        <v>172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177</v>
      </c>
      <c r="G184" s="13" t="s">
        <v>38</v>
      </c>
      <c r="H184" s="14">
        <v>28.0</v>
      </c>
      <c r="I184" s="14">
        <f t="shared" si="5"/>
        <v>2</v>
      </c>
      <c r="J184" s="26" t="s">
        <v>86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6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110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110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132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206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121</v>
      </c>
      <c r="F193" s="13" t="s">
        <v>122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128</v>
      </c>
      <c r="F194" s="13" t="s">
        <v>129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110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121</v>
      </c>
      <c r="F197" s="13" t="s">
        <v>122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6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184</v>
      </c>
      <c r="F199" s="13" t="s">
        <v>185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6" t="s">
        <v>27</v>
      </c>
      <c r="K200" s="26" t="s">
        <v>27</v>
      </c>
      <c r="L200" s="26" t="s">
        <v>27</v>
      </c>
      <c r="M200" s="13" t="s">
        <v>27</v>
      </c>
      <c r="N200" s="13" t="s">
        <v>40</v>
      </c>
      <c r="O200" s="13" t="s">
        <v>32</v>
      </c>
      <c r="P200" s="13" t="s">
        <v>29</v>
      </c>
      <c r="Q200" s="13" t="s">
        <v>31</v>
      </c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144</v>
      </c>
      <c r="F203" s="13" t="s">
        <v>144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132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6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297</v>
      </c>
      <c r="F211" s="13" t="s">
        <v>298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132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205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199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6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128</v>
      </c>
      <c r="F215" s="13" t="s">
        <v>129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6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6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6" t="s">
        <v>27</v>
      </c>
      <c r="L217" s="13" t="s">
        <v>39</v>
      </c>
      <c r="M217" s="26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144</v>
      </c>
      <c r="F218" s="13" t="s">
        <v>161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13" t="s">
        <v>39</v>
      </c>
      <c r="M218" s="26" t="s">
        <v>27</v>
      </c>
      <c r="N218" s="13"/>
      <c r="O218" s="13"/>
      <c r="P218" s="13" t="s">
        <v>33</v>
      </c>
      <c r="Q218" s="13" t="s">
        <v>33</v>
      </c>
      <c r="R218" s="13"/>
      <c r="S218" s="13"/>
      <c r="T218" s="13" t="s">
        <v>40</v>
      </c>
      <c r="U218" s="13" t="s">
        <v>30</v>
      </c>
    </row>
    <row r="219">
      <c r="A219" s="13" t="s">
        <v>678</v>
      </c>
      <c r="B219" s="20" t="s">
        <v>679</v>
      </c>
      <c r="C219" s="14">
        <v>8.9152556278E10</v>
      </c>
      <c r="D219" s="13" t="s">
        <v>23</v>
      </c>
      <c r="E219" s="13" t="s">
        <v>77</v>
      </c>
      <c r="F219" s="13" t="s">
        <v>77</v>
      </c>
      <c r="G219" s="13" t="s">
        <v>38</v>
      </c>
      <c r="H219" s="14">
        <v>39.0</v>
      </c>
      <c r="I219" s="14">
        <f t="shared" ref="I219:I221" si="8">COUNTIF(J219:M219, "Да")</f>
        <v>1</v>
      </c>
      <c r="J219" s="13" t="s">
        <v>27</v>
      </c>
      <c r="K219" s="13" t="s">
        <v>39</v>
      </c>
      <c r="L219" s="13" t="s">
        <v>39</v>
      </c>
      <c r="M219" s="13" t="s">
        <v>39</v>
      </c>
      <c r="N219" s="13" t="s">
        <v>31</v>
      </c>
      <c r="O219" s="13" t="s">
        <v>32</v>
      </c>
      <c r="P219" s="13"/>
      <c r="Q219" s="13"/>
      <c r="R219" s="13"/>
      <c r="S219" s="13"/>
      <c r="T219" s="13"/>
      <c r="U219" s="13"/>
    </row>
    <row r="220">
      <c r="A220" s="13" t="s">
        <v>680</v>
      </c>
      <c r="B220" s="20" t="s">
        <v>681</v>
      </c>
      <c r="C220" s="14">
        <v>8.9271013828E10</v>
      </c>
      <c r="D220" s="13" t="s">
        <v>23</v>
      </c>
      <c r="E220" s="13" t="s">
        <v>147</v>
      </c>
      <c r="F220" s="13" t="s">
        <v>682</v>
      </c>
      <c r="G220" s="13" t="s">
        <v>38</v>
      </c>
      <c r="H220" s="14">
        <v>32.0</v>
      </c>
      <c r="I220" s="14">
        <f t="shared" si="8"/>
        <v>3</v>
      </c>
      <c r="J220" s="13" t="s">
        <v>27</v>
      </c>
      <c r="K220" s="13" t="s">
        <v>28</v>
      </c>
      <c r="L220" s="13" t="s">
        <v>27</v>
      </c>
      <c r="M220" s="13" t="s">
        <v>27</v>
      </c>
      <c r="N220" s="13" t="s">
        <v>29</v>
      </c>
      <c r="O220" s="13" t="s">
        <v>31</v>
      </c>
      <c r="P220" s="25" t="s">
        <v>33</v>
      </c>
      <c r="Q220" s="25" t="s">
        <v>33</v>
      </c>
      <c r="R220" s="13" t="s">
        <v>29</v>
      </c>
      <c r="S220" s="13" t="s">
        <v>30</v>
      </c>
      <c r="T220" s="13" t="s">
        <v>29</v>
      </c>
      <c r="U220" s="13" t="s">
        <v>30</v>
      </c>
    </row>
    <row r="221">
      <c r="A221" s="13" t="s">
        <v>683</v>
      </c>
      <c r="B221" s="13" t="s">
        <v>684</v>
      </c>
      <c r="C221" s="14">
        <v>8.9376548981E10</v>
      </c>
      <c r="D221" s="13" t="s">
        <v>23</v>
      </c>
      <c r="E221" s="13" t="s">
        <v>322</v>
      </c>
      <c r="F221" s="13" t="s">
        <v>202</v>
      </c>
      <c r="G221" s="13" t="s">
        <v>26</v>
      </c>
      <c r="H221" s="14">
        <v>55.0</v>
      </c>
      <c r="I221" s="14">
        <f t="shared" si="8"/>
        <v>2</v>
      </c>
      <c r="J221" s="13" t="s">
        <v>39</v>
      </c>
      <c r="K221" s="13" t="s">
        <v>39</v>
      </c>
      <c r="L221" s="13" t="s">
        <v>27</v>
      </c>
      <c r="M221" s="13" t="s">
        <v>27</v>
      </c>
      <c r="N221" s="13"/>
      <c r="O221" s="13"/>
      <c r="P221" s="13"/>
      <c r="Q221" s="13"/>
      <c r="R221" s="13" t="s">
        <v>29</v>
      </c>
      <c r="S221" s="13" t="s">
        <v>31</v>
      </c>
      <c r="T221" s="13" t="s">
        <v>29</v>
      </c>
      <c r="U221" s="13" t="s">
        <v>31</v>
      </c>
    </row>
    <row r="222">
      <c r="A222" s="13" t="s">
        <v>685</v>
      </c>
      <c r="B222" s="20" t="s">
        <v>686</v>
      </c>
      <c r="C222" s="14">
        <v>8.9209721302E10</v>
      </c>
      <c r="D222" s="13" t="s">
        <v>23</v>
      </c>
      <c r="E222" s="13" t="s">
        <v>687</v>
      </c>
      <c r="F222" s="13" t="s">
        <v>688</v>
      </c>
      <c r="G222" s="13" t="s">
        <v>26</v>
      </c>
      <c r="H222" s="14">
        <v>36.0</v>
      </c>
      <c r="I222" s="13"/>
      <c r="J222" s="13" t="s">
        <v>39</v>
      </c>
      <c r="K222" s="13" t="s">
        <v>48</v>
      </c>
      <c r="L222" s="13" t="s">
        <v>27</v>
      </c>
      <c r="M222" s="13" t="s">
        <v>48</v>
      </c>
      <c r="N222" s="13"/>
      <c r="O222" s="13"/>
      <c r="P222" s="25" t="s">
        <v>33</v>
      </c>
      <c r="Q222" s="25" t="s">
        <v>33</v>
      </c>
      <c r="R222" s="13" t="s">
        <v>29</v>
      </c>
      <c r="S222" s="13" t="s">
        <v>31</v>
      </c>
      <c r="T222" s="25" t="s">
        <v>33</v>
      </c>
      <c r="U222" s="25" t="s">
        <v>33</v>
      </c>
    </row>
    <row r="223">
      <c r="A223" s="13" t="s">
        <v>689</v>
      </c>
      <c r="B223" s="20" t="s">
        <v>690</v>
      </c>
      <c r="C223" s="14">
        <v>8.9966077622E10</v>
      </c>
      <c r="D223" s="13" t="s">
        <v>23</v>
      </c>
      <c r="E223" s="13" t="s">
        <v>84</v>
      </c>
      <c r="F223" s="13" t="s">
        <v>177</v>
      </c>
      <c r="G223" s="13" t="s">
        <v>26</v>
      </c>
      <c r="H223" s="14">
        <v>38.0</v>
      </c>
      <c r="I223" s="14">
        <f t="shared" ref="I223:I224" si="9">COUNTIF(J223:M223, "Да")+COUNTIF(J223:M223, "Запас")</f>
        <v>4</v>
      </c>
      <c r="J223" s="13" t="s">
        <v>39</v>
      </c>
      <c r="K223" s="13" t="s">
        <v>39</v>
      </c>
      <c r="L223" s="13" t="s">
        <v>27</v>
      </c>
      <c r="M223" s="13" t="s">
        <v>27</v>
      </c>
      <c r="N223" s="25" t="s">
        <v>33</v>
      </c>
      <c r="O223" s="25" t="s">
        <v>33</v>
      </c>
      <c r="P223" s="13"/>
      <c r="Q223" s="13"/>
      <c r="R223" s="13" t="s">
        <v>29</v>
      </c>
      <c r="S223" s="13" t="s">
        <v>31</v>
      </c>
      <c r="T223" s="13" t="s">
        <v>40</v>
      </c>
      <c r="U223" s="13" t="s">
        <v>32</v>
      </c>
    </row>
    <row r="224">
      <c r="A224" s="13" t="s">
        <v>691</v>
      </c>
      <c r="B224" s="13" t="s">
        <v>692</v>
      </c>
      <c r="C224" s="14">
        <v>8.9177702506E10</v>
      </c>
      <c r="D224" s="13" t="s">
        <v>23</v>
      </c>
      <c r="E224" s="13" t="s">
        <v>132</v>
      </c>
      <c r="F224" s="13" t="s">
        <v>54</v>
      </c>
      <c r="G224" s="13" t="s">
        <v>38</v>
      </c>
      <c r="H224" s="14">
        <v>33.0</v>
      </c>
      <c r="I224" s="14">
        <f t="shared" si="9"/>
        <v>3</v>
      </c>
      <c r="J224" s="13" t="s">
        <v>39</v>
      </c>
      <c r="K224" s="13" t="s">
        <v>28</v>
      </c>
      <c r="L224" s="13" t="s">
        <v>39</v>
      </c>
      <c r="M224" s="13" t="s">
        <v>27</v>
      </c>
      <c r="N224" s="25" t="s">
        <v>33</v>
      </c>
      <c r="O224" s="25" t="s">
        <v>33</v>
      </c>
      <c r="P224" s="25" t="s">
        <v>33</v>
      </c>
      <c r="Q224" s="25" t="s">
        <v>33</v>
      </c>
      <c r="R224" s="13"/>
      <c r="S224" s="13"/>
      <c r="T224" s="13" t="s">
        <v>29</v>
      </c>
      <c r="U224" s="13" t="s">
        <v>31</v>
      </c>
    </row>
    <row r="225">
      <c r="A225" s="13" t="s">
        <v>693</v>
      </c>
      <c r="B225" s="13" t="s">
        <v>694</v>
      </c>
      <c r="C225" s="14">
        <v>8.9267031708E10</v>
      </c>
      <c r="D225" s="13" t="s">
        <v>23</v>
      </c>
      <c r="E225" s="13" t="s">
        <v>76</v>
      </c>
      <c r="F225" s="13" t="s">
        <v>76</v>
      </c>
      <c r="G225" s="13" t="s">
        <v>38</v>
      </c>
      <c r="H225" s="14">
        <v>33.0</v>
      </c>
      <c r="I225" s="13"/>
      <c r="J225" s="13" t="s">
        <v>27</v>
      </c>
      <c r="K225" s="13" t="s">
        <v>27</v>
      </c>
      <c r="L225" s="13" t="s">
        <v>39</v>
      </c>
      <c r="M225" s="13" t="s">
        <v>27</v>
      </c>
      <c r="N225" s="13" t="s">
        <v>31</v>
      </c>
      <c r="O225" s="13" t="s">
        <v>32</v>
      </c>
      <c r="P225" s="13" t="s">
        <v>40</v>
      </c>
      <c r="Q225" s="13" t="s">
        <v>31</v>
      </c>
      <c r="R225" s="13"/>
      <c r="S225" s="13"/>
      <c r="T225" s="13" t="s">
        <v>29</v>
      </c>
      <c r="U225" s="13" t="s">
        <v>31</v>
      </c>
    </row>
    <row r="226">
      <c r="A226" s="13" t="s">
        <v>695</v>
      </c>
      <c r="B226" s="13" t="s">
        <v>696</v>
      </c>
      <c r="C226" s="14">
        <v>8.9046309313E10</v>
      </c>
      <c r="D226" s="13" t="s">
        <v>23</v>
      </c>
      <c r="E226" s="13" t="s">
        <v>205</v>
      </c>
      <c r="F226" s="13" t="s">
        <v>144</v>
      </c>
      <c r="G226" s="13" t="s">
        <v>26</v>
      </c>
      <c r="H226" s="14">
        <v>37.0</v>
      </c>
      <c r="I226" s="14">
        <f>COUNTIF(J226:M226, "Да")+COUNTIF(J226:M226, "Запас")</f>
        <v>4</v>
      </c>
      <c r="J226" s="13" t="s">
        <v>39</v>
      </c>
      <c r="K226" s="13" t="s">
        <v>27</v>
      </c>
      <c r="L226" s="13" t="s">
        <v>39</v>
      </c>
      <c r="M226" s="13" t="s">
        <v>27</v>
      </c>
      <c r="N226" s="25" t="s">
        <v>33</v>
      </c>
      <c r="O226" s="25" t="s">
        <v>33</v>
      </c>
      <c r="P226" s="13" t="s">
        <v>40</v>
      </c>
      <c r="Q226" s="13" t="s">
        <v>30</v>
      </c>
      <c r="R226" s="25"/>
      <c r="S226" s="25"/>
      <c r="T226" s="13" t="s">
        <v>29</v>
      </c>
      <c r="U226" s="13" t="s">
        <v>31</v>
      </c>
    </row>
    <row r="227">
      <c r="A227" s="13" t="s">
        <v>697</v>
      </c>
      <c r="B227" s="20" t="s">
        <v>698</v>
      </c>
      <c r="C227" s="14">
        <v>8.9228008587E10</v>
      </c>
      <c r="D227" s="13" t="s">
        <v>52</v>
      </c>
      <c r="E227" s="13" t="s">
        <v>36</v>
      </c>
      <c r="F227" s="13" t="s">
        <v>77</v>
      </c>
      <c r="G227" s="13" t="s">
        <v>38</v>
      </c>
      <c r="H227" s="14">
        <v>31.0</v>
      </c>
      <c r="I227" s="14">
        <f t="shared" ref="I227:I242" si="10">COUNTIF(J227:M227, "Да")</f>
        <v>1</v>
      </c>
      <c r="J227" s="13" t="s">
        <v>39</v>
      </c>
      <c r="K227" s="13" t="s">
        <v>28</v>
      </c>
      <c r="L227" s="13" t="s">
        <v>39</v>
      </c>
      <c r="M227" s="13" t="s">
        <v>27</v>
      </c>
      <c r="N227" s="13"/>
      <c r="O227" s="13"/>
      <c r="P227" s="25" t="s">
        <v>33</v>
      </c>
      <c r="Q227" s="25" t="s">
        <v>33</v>
      </c>
      <c r="R227" s="13"/>
      <c r="S227" s="13"/>
      <c r="T227" s="13" t="s">
        <v>29</v>
      </c>
      <c r="U227" s="13" t="s">
        <v>31</v>
      </c>
    </row>
    <row r="228">
      <c r="A228" s="13" t="s">
        <v>699</v>
      </c>
      <c r="B228" s="13" t="s">
        <v>700</v>
      </c>
      <c r="C228" s="14">
        <v>8.9659095929E10</v>
      </c>
      <c r="D228" s="13" t="s">
        <v>23</v>
      </c>
      <c r="E228" s="13" t="s">
        <v>433</v>
      </c>
      <c r="F228" s="13" t="s">
        <v>140</v>
      </c>
      <c r="G228" s="13" t="s">
        <v>38</v>
      </c>
      <c r="H228" s="14">
        <v>27.0</v>
      </c>
      <c r="I228" s="14">
        <f t="shared" si="10"/>
        <v>1</v>
      </c>
      <c r="J228" s="13" t="s">
        <v>39</v>
      </c>
      <c r="K228" s="13" t="s">
        <v>27</v>
      </c>
      <c r="L228" s="13" t="s">
        <v>39</v>
      </c>
      <c r="M228" s="13" t="s">
        <v>39</v>
      </c>
      <c r="N228" s="25" t="s">
        <v>33</v>
      </c>
      <c r="O228" s="25" t="s">
        <v>33</v>
      </c>
      <c r="P228" s="13" t="s">
        <v>40</v>
      </c>
      <c r="Q228" s="13" t="s">
        <v>31</v>
      </c>
      <c r="R228" s="13"/>
      <c r="S228" s="13"/>
      <c r="T228" s="13"/>
      <c r="U228" s="13"/>
    </row>
    <row r="229">
      <c r="A229" s="13" t="s">
        <v>701</v>
      </c>
      <c r="B229" s="13" t="s">
        <v>702</v>
      </c>
      <c r="C229" s="14">
        <v>8.9170592416E10</v>
      </c>
      <c r="D229" s="13" t="s">
        <v>23</v>
      </c>
      <c r="E229" s="13" t="s">
        <v>554</v>
      </c>
      <c r="F229" s="13" t="s">
        <v>372</v>
      </c>
      <c r="G229" s="13" t="s">
        <v>26</v>
      </c>
      <c r="H229" s="14">
        <v>39.0</v>
      </c>
      <c r="I229" s="14">
        <f t="shared" si="10"/>
        <v>3</v>
      </c>
      <c r="J229" s="13" t="s">
        <v>27</v>
      </c>
      <c r="K229" s="13" t="s">
        <v>27</v>
      </c>
      <c r="L229" s="13" t="s">
        <v>48</v>
      </c>
      <c r="M229" s="13" t="s">
        <v>27</v>
      </c>
      <c r="N229" s="13" t="s">
        <v>29</v>
      </c>
      <c r="O229" s="13" t="s">
        <v>31</v>
      </c>
      <c r="P229" s="13" t="s">
        <v>31</v>
      </c>
      <c r="Q229" s="13" t="s">
        <v>32</v>
      </c>
      <c r="R229" s="13"/>
      <c r="S229" s="13"/>
      <c r="T229" s="13" t="s">
        <v>40</v>
      </c>
      <c r="U229" s="13" t="s">
        <v>32</v>
      </c>
    </row>
    <row r="230">
      <c r="A230" s="13" t="s">
        <v>703</v>
      </c>
      <c r="B230" s="20" t="s">
        <v>704</v>
      </c>
      <c r="C230" s="14">
        <v>8.9828075796E10</v>
      </c>
      <c r="D230" s="13" t="s">
        <v>23</v>
      </c>
      <c r="E230" s="13" t="s">
        <v>705</v>
      </c>
      <c r="F230" s="13" t="s">
        <v>706</v>
      </c>
      <c r="G230" s="13" t="s">
        <v>38</v>
      </c>
      <c r="H230" s="14">
        <v>42.0</v>
      </c>
      <c r="I230" s="14">
        <f t="shared" si="10"/>
        <v>1</v>
      </c>
      <c r="J230" s="13" t="s">
        <v>48</v>
      </c>
      <c r="K230" s="13" t="s">
        <v>27</v>
      </c>
      <c r="L230" s="13" t="s">
        <v>39</v>
      </c>
      <c r="M230" s="13" t="s">
        <v>48</v>
      </c>
      <c r="N230" s="13"/>
      <c r="O230" s="13"/>
      <c r="P230" s="13" t="s">
        <v>29</v>
      </c>
      <c r="Q230" s="13" t="s">
        <v>31</v>
      </c>
      <c r="R230" s="13"/>
      <c r="S230" s="13"/>
      <c r="T230" s="13"/>
      <c r="U230" s="13"/>
    </row>
    <row r="231">
      <c r="A231" s="30" t="s">
        <v>707</v>
      </c>
      <c r="B231" s="13" t="s">
        <v>83</v>
      </c>
      <c r="C231" s="14">
        <v>8.9046739603E10</v>
      </c>
      <c r="D231" s="13" t="s">
        <v>52</v>
      </c>
      <c r="E231" s="13" t="s">
        <v>708</v>
      </c>
      <c r="F231" s="13" t="s">
        <v>85</v>
      </c>
      <c r="G231" s="13" t="s">
        <v>38</v>
      </c>
      <c r="H231" s="14">
        <v>34.0</v>
      </c>
      <c r="I231" s="14">
        <f t="shared" si="10"/>
        <v>3</v>
      </c>
      <c r="J231" s="13" t="s">
        <v>27</v>
      </c>
      <c r="K231" s="13" t="s">
        <v>27</v>
      </c>
      <c r="L231" s="13" t="s">
        <v>39</v>
      </c>
      <c r="M231" s="13" t="s">
        <v>27</v>
      </c>
      <c r="N231" s="13" t="s">
        <v>40</v>
      </c>
      <c r="O231" s="13" t="s">
        <v>30</v>
      </c>
      <c r="P231" s="13" t="s">
        <v>29</v>
      </c>
      <c r="Q231" s="13" t="s">
        <v>31</v>
      </c>
      <c r="R231" s="13"/>
      <c r="S231" s="13"/>
      <c r="T231" s="13" t="s">
        <v>29</v>
      </c>
      <c r="U231" s="13" t="s">
        <v>31</v>
      </c>
    </row>
    <row r="232">
      <c r="A232" s="13" t="s">
        <v>709</v>
      </c>
      <c r="B232" s="13" t="s">
        <v>710</v>
      </c>
      <c r="C232" s="14">
        <v>8.9108800735E10</v>
      </c>
      <c r="D232" s="13" t="s">
        <v>52</v>
      </c>
      <c r="E232" s="13" t="s">
        <v>101</v>
      </c>
      <c r="F232" s="13" t="s">
        <v>101</v>
      </c>
      <c r="G232" s="13" t="s">
        <v>26</v>
      </c>
      <c r="H232" s="14">
        <v>29.0</v>
      </c>
      <c r="I232" s="14">
        <f t="shared" si="10"/>
        <v>2</v>
      </c>
      <c r="J232" s="13" t="s">
        <v>27</v>
      </c>
      <c r="K232" s="13" t="s">
        <v>27</v>
      </c>
      <c r="L232" s="13" t="s">
        <v>39</v>
      </c>
      <c r="M232" s="13" t="s">
        <v>39</v>
      </c>
      <c r="N232" s="13" t="s">
        <v>29</v>
      </c>
      <c r="O232" s="13" t="s">
        <v>31</v>
      </c>
      <c r="P232" s="13" t="s">
        <v>29</v>
      </c>
      <c r="Q232" s="13" t="s">
        <v>31</v>
      </c>
      <c r="R232" s="13"/>
      <c r="S232" s="13"/>
      <c r="T232" s="13"/>
      <c r="U232" s="13"/>
    </row>
    <row r="233">
      <c r="A233" s="13" t="s">
        <v>711</v>
      </c>
      <c r="B233" s="13" t="s">
        <v>712</v>
      </c>
      <c r="C233" s="14">
        <v>8.9991203955E10</v>
      </c>
      <c r="D233" s="13" t="s">
        <v>23</v>
      </c>
      <c r="E233" s="13" t="s">
        <v>713</v>
      </c>
      <c r="F233" s="13" t="s">
        <v>101</v>
      </c>
      <c r="G233" s="13" t="s">
        <v>26</v>
      </c>
      <c r="H233" s="14">
        <v>27.0</v>
      </c>
      <c r="I233" s="14">
        <f t="shared" si="10"/>
        <v>3</v>
      </c>
      <c r="J233" s="13" t="s">
        <v>27</v>
      </c>
      <c r="K233" s="13" t="s">
        <v>27</v>
      </c>
      <c r="L233" s="13" t="s">
        <v>27</v>
      </c>
      <c r="M233" s="13" t="s">
        <v>39</v>
      </c>
      <c r="N233" s="13" t="s">
        <v>31</v>
      </c>
      <c r="O233" s="13" t="s">
        <v>32</v>
      </c>
      <c r="P233" s="13" t="s">
        <v>29</v>
      </c>
      <c r="Q233" s="13" t="s">
        <v>30</v>
      </c>
      <c r="R233" s="13" t="s">
        <v>31</v>
      </c>
      <c r="S233" s="13" t="s">
        <v>32</v>
      </c>
      <c r="T233" s="13"/>
      <c r="U233" s="13"/>
    </row>
    <row r="234">
      <c r="A234" s="13" t="s">
        <v>714</v>
      </c>
      <c r="B234" s="13" t="s">
        <v>715</v>
      </c>
      <c r="C234" s="14">
        <v>8.9022109491E10</v>
      </c>
      <c r="D234" s="13" t="s">
        <v>23</v>
      </c>
      <c r="E234" s="13" t="s">
        <v>716</v>
      </c>
      <c r="F234" s="13" t="s">
        <v>717</v>
      </c>
      <c r="G234" s="13" t="s">
        <v>26</v>
      </c>
      <c r="H234" s="14">
        <v>34.0</v>
      </c>
      <c r="I234" s="14">
        <f t="shared" si="10"/>
        <v>2</v>
      </c>
      <c r="J234" s="13" t="s">
        <v>27</v>
      </c>
      <c r="K234" s="13" t="s">
        <v>27</v>
      </c>
      <c r="L234" s="13" t="s">
        <v>48</v>
      </c>
      <c r="M234" s="13" t="s">
        <v>39</v>
      </c>
      <c r="N234" s="13" t="s">
        <v>31</v>
      </c>
      <c r="O234" s="13" t="s">
        <v>32</v>
      </c>
      <c r="P234" s="13" t="s">
        <v>31</v>
      </c>
      <c r="Q234" s="13" t="s">
        <v>32</v>
      </c>
      <c r="R234" s="13"/>
      <c r="S234" s="13"/>
      <c r="T234" s="13"/>
      <c r="U234" s="13"/>
    </row>
    <row r="235">
      <c r="A235" s="13" t="s">
        <v>718</v>
      </c>
      <c r="B235" s="13" t="s">
        <v>719</v>
      </c>
      <c r="C235" s="14">
        <v>8.9501390435E10</v>
      </c>
      <c r="D235" s="13" t="s">
        <v>23</v>
      </c>
      <c r="E235" s="13" t="s">
        <v>559</v>
      </c>
      <c r="F235" s="13" t="s">
        <v>720</v>
      </c>
      <c r="G235" s="13" t="s">
        <v>26</v>
      </c>
      <c r="H235" s="14">
        <v>29.0</v>
      </c>
      <c r="I235" s="14">
        <f t="shared" si="10"/>
        <v>1</v>
      </c>
      <c r="J235" s="13" t="s">
        <v>39</v>
      </c>
      <c r="K235" s="13" t="s">
        <v>27</v>
      </c>
      <c r="L235" s="13" t="s">
        <v>48</v>
      </c>
      <c r="M235" s="13" t="s">
        <v>39</v>
      </c>
      <c r="N235" s="13"/>
      <c r="O235" s="13"/>
      <c r="P235" s="13" t="s">
        <v>31</v>
      </c>
      <c r="Q235" s="13" t="s">
        <v>32</v>
      </c>
      <c r="R235" s="13"/>
      <c r="S235" s="13"/>
      <c r="T235" s="13"/>
      <c r="U235" s="13"/>
    </row>
    <row r="236">
      <c r="A236" s="13" t="s">
        <v>721</v>
      </c>
      <c r="B236" s="20" t="s">
        <v>722</v>
      </c>
      <c r="C236" s="14">
        <v>8.9263103151E10</v>
      </c>
      <c r="D236" s="13" t="s">
        <v>23</v>
      </c>
      <c r="E236" s="13" t="s">
        <v>77</v>
      </c>
      <c r="F236" s="13" t="s">
        <v>77</v>
      </c>
      <c r="G236" s="13" t="s">
        <v>38</v>
      </c>
      <c r="H236" s="14">
        <v>38.0</v>
      </c>
      <c r="I236" s="14">
        <f t="shared" si="10"/>
        <v>1</v>
      </c>
      <c r="J236" s="13" t="s">
        <v>39</v>
      </c>
      <c r="K236" s="13" t="s">
        <v>27</v>
      </c>
      <c r="L236" s="13" t="s">
        <v>39</v>
      </c>
      <c r="M236" s="13" t="s">
        <v>39</v>
      </c>
      <c r="N236" s="13"/>
      <c r="O236" s="13"/>
      <c r="P236" s="13" t="s">
        <v>31</v>
      </c>
      <c r="Q236" s="13" t="s">
        <v>32</v>
      </c>
      <c r="R236" s="13"/>
      <c r="S236" s="13"/>
      <c r="T236" s="13"/>
      <c r="U236" s="13"/>
    </row>
    <row r="237">
      <c r="A237" s="13" t="s">
        <v>723</v>
      </c>
      <c r="B237" s="13" t="s">
        <v>724</v>
      </c>
      <c r="C237" s="14">
        <v>8.9827023992E10</v>
      </c>
      <c r="D237" s="13" t="s">
        <v>23</v>
      </c>
      <c r="E237" s="13" t="s">
        <v>128</v>
      </c>
      <c r="F237" s="13" t="s">
        <v>725</v>
      </c>
      <c r="G237" s="13" t="s">
        <v>26</v>
      </c>
      <c r="H237" s="14">
        <v>36.0</v>
      </c>
      <c r="I237" s="14">
        <f t="shared" si="10"/>
        <v>3</v>
      </c>
      <c r="J237" s="13" t="s">
        <v>27</v>
      </c>
      <c r="K237" s="13" t="s">
        <v>27</v>
      </c>
      <c r="L237" s="13" t="s">
        <v>27</v>
      </c>
      <c r="M237" s="13" t="s">
        <v>39</v>
      </c>
      <c r="N237" s="13" t="s">
        <v>29</v>
      </c>
      <c r="O237" s="13" t="s">
        <v>31</v>
      </c>
      <c r="P237" s="13" t="s">
        <v>31</v>
      </c>
      <c r="Q237" s="13" t="s">
        <v>32</v>
      </c>
      <c r="R237" s="13" t="s">
        <v>40</v>
      </c>
      <c r="S237" s="13" t="s">
        <v>32</v>
      </c>
      <c r="T237" s="13"/>
      <c r="U237" s="13"/>
    </row>
    <row r="238">
      <c r="A238" s="13" t="s">
        <v>726</v>
      </c>
      <c r="B238" s="13" t="s">
        <v>727</v>
      </c>
      <c r="C238" s="14">
        <v>8.9161909226E10</v>
      </c>
      <c r="D238" s="13" t="s">
        <v>52</v>
      </c>
      <c r="E238" s="13" t="s">
        <v>76</v>
      </c>
      <c r="F238" s="13" t="s">
        <v>76</v>
      </c>
      <c r="G238" s="13" t="s">
        <v>26</v>
      </c>
      <c r="H238" s="14">
        <v>48.0</v>
      </c>
      <c r="I238" s="14">
        <f t="shared" si="10"/>
        <v>2</v>
      </c>
      <c r="J238" s="13" t="s">
        <v>39</v>
      </c>
      <c r="K238" s="13" t="s">
        <v>27</v>
      </c>
      <c r="L238" s="13" t="s">
        <v>27</v>
      </c>
      <c r="M238" s="13" t="s">
        <v>48</v>
      </c>
      <c r="N238" s="13"/>
      <c r="O238" s="13"/>
      <c r="P238" s="13" t="s">
        <v>31</v>
      </c>
      <c r="Q238" s="13" t="s">
        <v>32</v>
      </c>
      <c r="R238" s="13" t="s">
        <v>31</v>
      </c>
      <c r="S238" s="13" t="s">
        <v>32</v>
      </c>
      <c r="T238" s="13"/>
      <c r="U238" s="13"/>
    </row>
    <row r="239">
      <c r="A239" s="13" t="s">
        <v>728</v>
      </c>
      <c r="B239" s="13" t="s">
        <v>729</v>
      </c>
      <c r="C239" s="14">
        <v>8.9373555368E10</v>
      </c>
      <c r="D239" s="13" t="s">
        <v>23</v>
      </c>
      <c r="E239" s="13" t="s">
        <v>53</v>
      </c>
      <c r="F239" s="13" t="s">
        <v>54</v>
      </c>
      <c r="G239" s="13" t="s">
        <v>26</v>
      </c>
      <c r="H239" s="14">
        <v>36.0</v>
      </c>
      <c r="I239" s="14">
        <f t="shared" si="10"/>
        <v>1</v>
      </c>
      <c r="J239" s="13" t="s">
        <v>39</v>
      </c>
      <c r="K239" s="13" t="s">
        <v>27</v>
      </c>
      <c r="L239" s="13" t="s">
        <v>48</v>
      </c>
      <c r="M239" s="13" t="s">
        <v>39</v>
      </c>
      <c r="N239" s="13"/>
      <c r="O239" s="13"/>
      <c r="P239" s="13" t="s">
        <v>31</v>
      </c>
      <c r="Q239" s="13" t="s">
        <v>32</v>
      </c>
      <c r="R239" s="13"/>
      <c r="S239" s="13"/>
      <c r="T239" s="13"/>
      <c r="U239" s="13"/>
    </row>
    <row r="240">
      <c r="A240" s="13" t="s">
        <v>730</v>
      </c>
      <c r="B240" s="13" t="s">
        <v>731</v>
      </c>
      <c r="C240" s="14">
        <v>8.9052794342E10</v>
      </c>
      <c r="D240" s="13" t="s">
        <v>23</v>
      </c>
      <c r="E240" s="13" t="s">
        <v>732</v>
      </c>
      <c r="F240" s="13" t="s">
        <v>161</v>
      </c>
      <c r="G240" s="13" t="s">
        <v>26</v>
      </c>
      <c r="H240" s="14">
        <v>41.0</v>
      </c>
      <c r="I240" s="14">
        <f t="shared" si="10"/>
        <v>1</v>
      </c>
      <c r="J240" s="13" t="s">
        <v>39</v>
      </c>
      <c r="K240" s="13" t="s">
        <v>27</v>
      </c>
      <c r="L240" s="13" t="s">
        <v>39</v>
      </c>
      <c r="M240" s="13" t="s">
        <v>39</v>
      </c>
      <c r="N240" s="13"/>
      <c r="O240" s="13"/>
      <c r="P240" s="13" t="s">
        <v>31</v>
      </c>
      <c r="Q240" s="13" t="s">
        <v>32</v>
      </c>
      <c r="R240" s="13"/>
      <c r="S240" s="13"/>
      <c r="T240" s="13"/>
      <c r="U240" s="13"/>
    </row>
    <row r="241">
      <c r="A241" s="13" t="s">
        <v>733</v>
      </c>
      <c r="B241" s="13" t="s">
        <v>734</v>
      </c>
      <c r="C241" s="14">
        <v>8.919859592E10</v>
      </c>
      <c r="D241" s="13" t="s">
        <v>52</v>
      </c>
      <c r="E241" s="13" t="s">
        <v>735</v>
      </c>
      <c r="F241" s="13" t="s">
        <v>736</v>
      </c>
      <c r="G241" s="13" t="s">
        <v>38</v>
      </c>
      <c r="H241" s="14">
        <v>33.0</v>
      </c>
      <c r="I241" s="14">
        <f t="shared" si="10"/>
        <v>2</v>
      </c>
      <c r="J241" s="13" t="s">
        <v>39</v>
      </c>
      <c r="K241" s="13" t="s">
        <v>27</v>
      </c>
      <c r="L241" s="13" t="s">
        <v>39</v>
      </c>
      <c r="M241" s="13" t="s">
        <v>27</v>
      </c>
      <c r="N241" s="13"/>
      <c r="O241" s="13"/>
      <c r="P241" s="13" t="s">
        <v>29</v>
      </c>
      <c r="Q241" s="13" t="s">
        <v>31</v>
      </c>
      <c r="R241" s="13"/>
      <c r="S241" s="13"/>
      <c r="T241" s="13" t="s">
        <v>31</v>
      </c>
      <c r="U241" s="13" t="s">
        <v>32</v>
      </c>
    </row>
    <row r="242">
      <c r="A242" s="13" t="s">
        <v>737</v>
      </c>
      <c r="B242" s="13" t="s">
        <v>738</v>
      </c>
      <c r="C242" s="14">
        <v>8.9164941794E10</v>
      </c>
      <c r="D242" s="13" t="s">
        <v>23</v>
      </c>
      <c r="E242" s="13" t="s">
        <v>77</v>
      </c>
      <c r="F242" s="13" t="s">
        <v>77</v>
      </c>
      <c r="G242" s="13" t="s">
        <v>26</v>
      </c>
      <c r="H242" s="14">
        <v>41.0</v>
      </c>
      <c r="I242" s="14">
        <f t="shared" si="10"/>
        <v>1</v>
      </c>
      <c r="J242" s="13" t="s">
        <v>39</v>
      </c>
      <c r="K242" s="13" t="s">
        <v>27</v>
      </c>
      <c r="L242" s="13" t="s">
        <v>48</v>
      </c>
      <c r="M242" s="13" t="s">
        <v>39</v>
      </c>
      <c r="N242" s="13"/>
      <c r="O242" s="13"/>
      <c r="P242" s="13" t="s">
        <v>31</v>
      </c>
      <c r="Q242" s="13" t="s">
        <v>32</v>
      </c>
      <c r="R242" s="13"/>
      <c r="S242" s="13"/>
      <c r="T242" s="13"/>
      <c r="U242" s="13"/>
    </row>
  </sheetData>
  <autoFilter ref="$A$1:$AA$242"/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  <hyperlink r:id="rId82" ref="B219"/>
    <hyperlink r:id="rId83" ref="B220"/>
    <hyperlink r:id="rId84" ref="B222"/>
    <hyperlink r:id="rId85" ref="B223"/>
    <hyperlink r:id="rId86" ref="B227"/>
    <hyperlink r:id="rId87" ref="B230"/>
    <hyperlink r:id="rId88" ref="B236"/>
  </hyperlinks>
  <drawing r:id="rId8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739</v>
      </c>
      <c r="C1" s="21" t="s">
        <v>740</v>
      </c>
      <c r="D1" s="21" t="s">
        <v>741</v>
      </c>
      <c r="E1" s="21" t="s">
        <v>742</v>
      </c>
    </row>
    <row r="2">
      <c r="A2" s="21" t="s">
        <v>40</v>
      </c>
      <c r="B2" s="31" t="s">
        <v>743</v>
      </c>
      <c r="C2" s="31" t="s">
        <v>744</v>
      </c>
      <c r="D2" s="31" t="s">
        <v>745</v>
      </c>
      <c r="E2" s="31" t="s">
        <v>746</v>
      </c>
    </row>
    <row r="3">
      <c r="A3" s="21" t="s">
        <v>29</v>
      </c>
      <c r="B3" s="32" t="s">
        <v>747</v>
      </c>
      <c r="C3" s="32" t="s">
        <v>748</v>
      </c>
      <c r="D3" s="31" t="s">
        <v>749</v>
      </c>
      <c r="E3" s="31" t="s">
        <v>750</v>
      </c>
    </row>
    <row r="5">
      <c r="A5" s="21" t="s">
        <v>32</v>
      </c>
      <c r="B5" s="31" t="s">
        <v>751</v>
      </c>
      <c r="C5" s="31" t="s">
        <v>752</v>
      </c>
      <c r="D5" s="31" t="s">
        <v>753</v>
      </c>
      <c r="E5" s="31" t="s">
        <v>754</v>
      </c>
    </row>
    <row r="6">
      <c r="A6" s="21" t="s">
        <v>30</v>
      </c>
      <c r="B6" s="31" t="s">
        <v>755</v>
      </c>
      <c r="C6" s="31" t="s">
        <v>756</v>
      </c>
      <c r="D6" s="31" t="s">
        <v>757</v>
      </c>
      <c r="E6" s="31" t="s">
        <v>758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759</v>
      </c>
      <c r="B1" s="21" t="s">
        <v>760</v>
      </c>
    </row>
    <row r="2">
      <c r="A2" s="21" t="s">
        <v>40</v>
      </c>
      <c r="B2" s="21" t="s">
        <v>761</v>
      </c>
    </row>
    <row r="3">
      <c r="A3" s="21" t="s">
        <v>29</v>
      </c>
      <c r="B3" s="21" t="s">
        <v>762</v>
      </c>
    </row>
    <row r="5">
      <c r="A5" s="21" t="s">
        <v>32</v>
      </c>
      <c r="B5" s="21" t="s">
        <v>762</v>
      </c>
    </row>
    <row r="6">
      <c r="A6" s="21" t="s">
        <v>30</v>
      </c>
      <c r="B6" s="21" t="s">
        <v>763</v>
      </c>
    </row>
  </sheetData>
  <drawing r:id="rId1"/>
</worksheet>
</file>