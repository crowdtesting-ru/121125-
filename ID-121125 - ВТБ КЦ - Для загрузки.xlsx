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Max\PycharmProjects\pythonProject40\"/>
    </mc:Choice>
  </mc:AlternateContent>
  <xr:revisionPtr revIDLastSave="0" documentId="13_ncr:1_{9C66DB9D-BD32-4AA7-90F5-C74A35C01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Отобранные участник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" i="1" l="1"/>
  <c r="I12" i="1"/>
  <c r="I11" i="1"/>
  <c r="I10" i="1"/>
  <c r="I9" i="1"/>
  <c r="I8" i="1"/>
  <c r="X7" i="1"/>
  <c r="I7" i="1"/>
  <c r="X6" i="1"/>
  <c r="I6" i="1"/>
  <c r="X5" i="1"/>
  <c r="I5" i="1"/>
  <c r="X4" i="1"/>
  <c r="I4" i="1"/>
  <c r="I3" i="1"/>
  <c r="I2" i="1"/>
</calcChain>
</file>

<file path=xl/sharedStrings.xml><?xml version="1.0" encoding="utf-8"?>
<sst xmlns="http://schemas.openxmlformats.org/spreadsheetml/2006/main" count="297" uniqueCount="119">
  <si>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</si>
  <si>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</si>
  <si>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</si>
  <si>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</si>
  <si>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</si>
  <si>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</si>
  <si>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</si>
  <si>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</si>
  <si>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</si>
  <si>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</si>
  <si>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</si>
  <si>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</si>
  <si>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</si>
  <si>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</si>
  <si>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</si>
  <si>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</si>
  <si>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</si>
  <si>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</si>
  <si>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</si>
  <si>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</si>
  <si>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</si>
  <si>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Идрисова Сабина Рамилевна</t>
  </si>
  <si>
    <t>s_muse</t>
  </si>
  <si>
    <t>iOS</t>
  </si>
  <si>
    <t>Санкт-Петербург</t>
  </si>
  <si>
    <t>Женский</t>
  </si>
  <si>
    <t>Да</t>
  </si>
  <si>
    <t>Дюжаков Эдуард Андреевич</t>
  </si>
  <si>
    <t>h1don@yandex.ru</t>
  </si>
  <si>
    <t>Android</t>
  </si>
  <si>
    <t>Саратовская область</t>
  </si>
  <si>
    <t>Саратов</t>
  </si>
  <si>
    <t>Мужской</t>
  </si>
  <si>
    <t>Нет</t>
  </si>
  <si>
    <t>Банк</t>
  </si>
  <si>
    <t>Отобрано участников</t>
  </si>
  <si>
    <t>Нужно участников</t>
  </si>
  <si>
    <t>Шведов Дмитрий Владимирович</t>
  </si>
  <si>
    <t>https://t.me/Shvedov_D</t>
  </si>
  <si>
    <t>Республика Карелия</t>
  </si>
  <si>
    <t>Петрозаводск</t>
  </si>
  <si>
    <t>Всего Сбер</t>
  </si>
  <si>
    <t>Кузнецова Екатерина Ильдусовна</t>
  </si>
  <si>
    <t>https://t.me/bagira_marks</t>
  </si>
  <si>
    <t>Самарская область</t>
  </si>
  <si>
    <t>Самара</t>
  </si>
  <si>
    <t>Всего ВТБ</t>
  </si>
  <si>
    <t>Чуланов Александр Александрович</t>
  </si>
  <si>
    <t>@adolfinii</t>
  </si>
  <si>
    <t xml:space="preserve">Москва </t>
  </si>
  <si>
    <t>Всего Т-Банк</t>
  </si>
  <si>
    <t>Борисова Дарья Алексеевна</t>
  </si>
  <si>
    <t>https://t.me/dainerissss</t>
  </si>
  <si>
    <t>Москва</t>
  </si>
  <si>
    <t>Всего Альфа-банк</t>
  </si>
  <si>
    <t>Шмелева Анна Александровна</t>
  </si>
  <si>
    <t xml:space="preserve">https://t.me/AnnaShhhmeleva </t>
  </si>
  <si>
    <t xml:space="preserve">Воронежская область </t>
  </si>
  <si>
    <t xml:space="preserve">Воронеж </t>
  </si>
  <si>
    <t>Дворецкий Дмитрий Викторович</t>
  </si>
  <si>
    <t>https://t.me/zzomer</t>
  </si>
  <si>
    <t>Юркина Марина Андреевна</t>
  </si>
  <si>
    <t>@Marina881712</t>
  </si>
  <si>
    <t xml:space="preserve">Свердловская область </t>
  </si>
  <si>
    <t xml:space="preserve">Каменск-Уральский </t>
  </si>
  <si>
    <t>Алексеев Александр Станиславович</t>
  </si>
  <si>
    <t>@alex_stan</t>
  </si>
  <si>
    <t>Церфас Наталия Львовна</t>
  </si>
  <si>
    <t>@betty_0712</t>
  </si>
  <si>
    <t>Львов Александр Анатольевич</t>
  </si>
  <si>
    <t>https://t.me/LexLvov</t>
  </si>
  <si>
    <t>Горячева Элла Юрьевна</t>
  </si>
  <si>
    <t xml:space="preserve">https://t.me/ella15012 </t>
  </si>
  <si>
    <t>Ярославская область</t>
  </si>
  <si>
    <t xml:space="preserve">Ярославль </t>
  </si>
  <si>
    <t>Поминов Максим Александрович</t>
  </si>
  <si>
    <t>https://t.me/Pominov29</t>
  </si>
  <si>
    <t>Московская область</t>
  </si>
  <si>
    <t>Гриневич Светлана Александровна</t>
  </si>
  <si>
    <t xml:space="preserve">https://t.me/svetagrinn </t>
  </si>
  <si>
    <t xml:space="preserve">Брянск </t>
  </si>
  <si>
    <t>Лавриновская Елизавета Николаевна</t>
  </si>
  <si>
    <t>@elizenok</t>
  </si>
  <si>
    <t xml:space="preserve">Санкт-Петербург </t>
  </si>
  <si>
    <t>Гришина Светлана Сергеевна</t>
  </si>
  <si>
    <t>https://t.me/svetlanika_gs</t>
  </si>
  <si>
    <t xml:space="preserve">Липецкая обл </t>
  </si>
  <si>
    <t xml:space="preserve">Елец </t>
  </si>
  <si>
    <t>Калинина Ольга Игоревна</t>
  </si>
  <si>
    <t>https://t.me/olgakalinina2103</t>
  </si>
  <si>
    <t>Перминов Максим Сергеевич</t>
  </si>
  <si>
    <t>https://t.me/venopus</t>
  </si>
  <si>
    <t>Свердловская область</t>
  </si>
  <si>
    <t>Екатеринбург</t>
  </si>
  <si>
    <t>Гребенникова Ольга Юрьевна</t>
  </si>
  <si>
    <t>@OVA_Oyu</t>
  </si>
  <si>
    <t>Соповская Юлия Вячеславовна</t>
  </si>
  <si>
    <t>@smetankaone</t>
  </si>
  <si>
    <t>Краснодарский край</t>
  </si>
  <si>
    <t>Краснодар</t>
  </si>
  <si>
    <t>Белов Александр Сергеевич</t>
  </si>
  <si>
    <t>@belovsan_87</t>
  </si>
  <si>
    <t xml:space="preserve">Нижегородский </t>
  </si>
  <si>
    <t xml:space="preserve">Нижний Новгород 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</si>
  <si>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</si>
  <si>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</si>
  <si>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</si>
  <si>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</si>
  <si>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Горбушина Анастасия Денисовна</t>
  </si>
  <si>
    <t>https://t.me/nessy1998</t>
  </si>
  <si>
    <t>Фаткуллина Дина Ирековна</t>
  </si>
  <si>
    <t>@dina_fatk</t>
  </si>
  <si>
    <t>Республика Башкортостан</t>
  </si>
  <si>
    <t>Уфа</t>
  </si>
  <si>
    <t>Лобко Ксения Александровна</t>
  </si>
  <si>
    <t>https://t.me/Kseniaa555</t>
  </si>
  <si>
    <t>Рязань</t>
  </si>
  <si>
    <t>Кузнецова Татьяна Викторовна</t>
  </si>
  <si>
    <t>https://t.me/TianaSmit85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</si>
</sst>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u/>
      <sz val="10"/>
      <color rgb="FF0000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5" borderId="0" xfId="0" applyFont="1" applyFill="1" applyAlignment="1">
      <alignment wrapText="1"/>
    </xf>
    <xf numFmtId="0" fontId="1" fillId="6" borderId="0" xfId="0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7" borderId="0" xfId="0" applyFont="1" applyFill="1" applyAlignment="1">
      <alignment wrapText="1"/>
    </xf>
    <xf numFmtId="0" fontId="2" fillId="8" borderId="0" xfId="0" applyFont="1" applyFill="1" applyAlignment="1">
      <alignment wrapText="1"/>
    </xf>
    <xf numFmtId="0" fontId="2" fillId="9" borderId="0" xfId="0" applyFont="1" applyFill="1" applyAlignment="1">
      <alignment wrapText="1"/>
    </xf>
    <xf numFmtId="0" fontId="2" fillId="10" borderId="0" xfId="0" applyFont="1" applyFill="1" applyAlignment="1">
      <alignment wrapText="1"/>
    </xf>
    <xf numFmtId="0" fontId="3" fillId="0" borderId="0" xfId="0" applyFont="1" applyAlignment="1"/>
    <xf numFmtId="0" fontId="3" fillId="0" borderId="0" xfId="0" applyFont="1"/>
    <xf numFmtId="0" fontId="1" fillId="0" borderId="0" xfId="0" applyFont="1" applyAlignment="1"/>
    <xf numFmtId="0" fontId="1" fillId="0" borderId="1" xfId="0" applyFont="1" applyBorder="1" applyAlignment="1"/>
    <xf numFmtId="0" fontId="4" fillId="0" borderId="0" xfId="0" applyFont="1" applyAlignment="1"/>
    <xf numFmtId="0" fontId="3" fillId="0" borderId="1" xfId="0" applyFont="1" applyBorder="1" applyAlignment="1"/>
    <xf numFmtId="0" fontId="3" fillId="0" borderId="1" xfId="0" applyFont="1" applyBorder="1"/>
    <xf numFmtId="0" fontId="3" fillId="0" borderId="0" xfId="0" applyFont="1" applyAlignment="1">
      <alignment horizontal="left"/>
    </xf>
  </cellXfs>
  <cellStyles count="1">
    <cellStyle name="Обычный" xfId="0" builtinId="0"/>
  </cellStyles>
  <dxfs count="5">
    <dxf>
      <fill>
        <patternFill patternType="solid">
          <fgColor rgb="FF93C47D"/>
          <bgColor rgb="FF93C47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.me/Pominov29" TargetMode="External"/><Relationship Id="rId13" Type="http://schemas.openxmlformats.org/officeDocument/2006/relationships/hyperlink" Target="https://t.me/nessy1998" TargetMode="External"/><Relationship Id="rId3" Type="http://schemas.openxmlformats.org/officeDocument/2006/relationships/hyperlink" Target="https://t.me/dainerissss" TargetMode="External"/><Relationship Id="rId7" Type="http://schemas.openxmlformats.org/officeDocument/2006/relationships/hyperlink" Target="https://t.me/ella15012" TargetMode="External"/><Relationship Id="rId12" Type="http://schemas.openxmlformats.org/officeDocument/2006/relationships/hyperlink" Target="https://t.me/venopus" TargetMode="External"/><Relationship Id="rId2" Type="http://schemas.openxmlformats.org/officeDocument/2006/relationships/hyperlink" Target="https://t.me/bagira_marks" TargetMode="External"/><Relationship Id="rId1" Type="http://schemas.openxmlformats.org/officeDocument/2006/relationships/hyperlink" Target="https://t.me/Shvedov_D" TargetMode="External"/><Relationship Id="rId6" Type="http://schemas.openxmlformats.org/officeDocument/2006/relationships/hyperlink" Target="https://t.me/LexLvov" TargetMode="External"/><Relationship Id="rId11" Type="http://schemas.openxmlformats.org/officeDocument/2006/relationships/hyperlink" Target="https://t.me/olgakalinina2103" TargetMode="External"/><Relationship Id="rId5" Type="http://schemas.openxmlformats.org/officeDocument/2006/relationships/hyperlink" Target="https://t.me/zzomer" TargetMode="External"/><Relationship Id="rId15" Type="http://schemas.openxmlformats.org/officeDocument/2006/relationships/hyperlink" Target="https://t.me/TianaSmit85" TargetMode="External"/><Relationship Id="rId10" Type="http://schemas.openxmlformats.org/officeDocument/2006/relationships/hyperlink" Target="https://t.me/svetlanika_gs" TargetMode="External"/><Relationship Id="rId4" Type="http://schemas.openxmlformats.org/officeDocument/2006/relationships/hyperlink" Target="https://t.me/AnnaShhhmeleva" TargetMode="External"/><Relationship Id="rId9" Type="http://schemas.openxmlformats.org/officeDocument/2006/relationships/hyperlink" Target="https://t.me/svetagrinn" TargetMode="External"/><Relationship Id="rId14" Type="http://schemas.openxmlformats.org/officeDocument/2006/relationships/hyperlink" Target="https://t.me/Kseniaa55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3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R2" sqref="R2"/>
    </sheetView>
  </sheetViews>
  <sheetFormatPr defaultColWidth="12.5703125" defaultRowHeight="15.75" customHeight="1" x14ac:dyDescent="0.2"/>
  <cols>
    <col min="1" max="1" width="29.42578125" customWidth="1"/>
    <col min="2" max="2" width="23.42578125" customWidth="1"/>
    <col min="3" max="3" width="16.42578125" customWidth="1"/>
    <col min="4" max="4" width="20.140625" hidden="1" customWidth="1"/>
    <col min="5" max="5" width="16.28515625" hidden="1" customWidth="1"/>
    <col min="6" max="6" width="17" hidden="1" customWidth="1"/>
    <col min="7" max="7" width="12.5703125" hidden="1"/>
    <col min="8" max="8" width="12.85546875" hidden="1" customWidth="1"/>
    <col min="9" max="9" width="10.28515625" customWidth="1"/>
    <col min="10" max="10" width="11.85546875" customWidth="1"/>
    <col min="11" max="11" width="12" customWidth="1"/>
    <col min="12" max="12" width="12.7109375" customWidth="1"/>
    <col min="13" max="13" width="11.7109375" customWidth="1"/>
    <col min="15" max="15" width="13.42578125" customWidth="1"/>
    <col min="16" max="16" width="12.7109375" customWidth="1"/>
    <col min="17" max="17" width="10.85546875" customWidth="1"/>
    <col min="18" max="18" width="12" customWidth="1"/>
    <col min="19" max="19" width="13.140625" customWidth="1"/>
    <col min="20" max="23" width="15.140625" customWidth="1"/>
    <col min="24" max="24" width="19" customWidth="1"/>
    <col min="25" max="25" width="16.28515625" customWidth="1"/>
  </cols>
  <sheetData>
    <row r="1" spans="1:25" ht="50.2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3" t="s">
        <v>9</v>
      </c>
      <c r="K1" s="4" t="s">
        <v>10</v>
      </c>
      <c r="L1" s="5" t="s">
        <v>11</v>
      </c>
      <c r="M1" s="6" t="s">
        <v>12</v>
      </c>
      <c r="N1" s="7" t="s">
        <v>13</v>
      </c>
      <c r="O1" s="8" t="s">
        <v>14</v>
      </c>
      <c r="P1" s="9" t="s">
        <v>15</v>
      </c>
      <c r="Q1" s="9" t="s">
        <v>16</v>
      </c>
      <c r="R1" s="10" t="s">
        <v>17</v>
      </c>
      <c r="S1" s="10" t="s">
        <v>18</v>
      </c>
      <c r="T1" s="11" t="s">
        <v>19</v>
      </c>
      <c r="U1" s="11" t="s">
        <v>20</v>
      </c>
    </row>
    <row r="2" spans="1:25" ht="12.75" x14ac:dyDescent="0.2">
      <c r="A2" s="12" t="s">
        <v>21</v>
      </c>
      <c r="B2" s="12" t="s">
        <v>22</v>
      </c>
      <c r="C2" s="12">
        <v>89878888888</v>
      </c>
      <c r="D2" s="12" t="s">
        <v>23</v>
      </c>
      <c r="E2" s="12" t="s">
        <v>24</v>
      </c>
      <c r="F2" s="12" t="s">
        <v>24</v>
      </c>
      <c r="G2" s="12" t="s">
        <v>25</v>
      </c>
      <c r="H2" s="12">
        <v>32</v>
      </c>
      <c r="I2" s="13">
        <f t="shared" ref="I2:I13" si="0">COUNTIF(J2:M2, "Да")</f>
        <v>4</v>
      </c>
      <c r="J2" s="12" t="s">
        <v>26</v>
      </c>
      <c r="K2" s="12" t="s">
        <v>26</v>
      </c>
      <c r="L2" s="12" t="s">
        <v>26</v>
      </c>
      <c r="M2" s="12" t="s">
        <v>26</v>
      </c>
      <c r="N2">
        <v>1</v>
      </c>
      <c r="O2" s="14"/>
      <c r="P2" s="14">
        <v>3</v>
      </c>
      <c r="Q2">
        <v>4</v>
      </c>
      <c r="R2" s="14"/>
      <c r="S2" s="14">
        <v>6</v>
      </c>
      <c r="T2">
        <v>7</v>
      </c>
      <c r="U2" s="14">
        <v>8</v>
      </c>
      <c r="V2" s="14"/>
      <c r="W2" s="14"/>
      <c r="X2" s="14"/>
      <c r="Y2" s="14"/>
    </row>
    <row r="3" spans="1:25" ht="12.75" x14ac:dyDescent="0.2">
      <c r="A3" s="12" t="s">
        <v>27</v>
      </c>
      <c r="B3" s="12" t="s">
        <v>28</v>
      </c>
      <c r="C3" s="12">
        <v>89198366717</v>
      </c>
      <c r="D3" s="12" t="s">
        <v>29</v>
      </c>
      <c r="E3" s="12" t="s">
        <v>30</v>
      </c>
      <c r="F3" s="12" t="s">
        <v>31</v>
      </c>
      <c r="G3" s="12" t="s">
        <v>32</v>
      </c>
      <c r="H3" s="12">
        <v>33</v>
      </c>
      <c r="I3" s="13">
        <f t="shared" si="0"/>
        <v>3</v>
      </c>
      <c r="J3" s="12" t="s">
        <v>26</v>
      </c>
      <c r="K3" s="12" t="s">
        <v>33</v>
      </c>
      <c r="L3" s="12" t="s">
        <v>26</v>
      </c>
      <c r="M3" s="12" t="s">
        <v>26</v>
      </c>
      <c r="N3">
        <v>1</v>
      </c>
      <c r="O3" s="14">
        <v>2</v>
      </c>
      <c r="P3" s="14">
        <v>3</v>
      </c>
      <c r="Q3">
        <v>4</v>
      </c>
      <c r="R3" s="14">
        <v>5</v>
      </c>
      <c r="S3" s="14">
        <v>6</v>
      </c>
      <c r="T3">
        <v>7</v>
      </c>
      <c r="U3" s="14">
        <v>8</v>
      </c>
      <c r="V3" s="14"/>
      <c r="W3" s="15" t="s">
        <v>34</v>
      </c>
      <c r="X3" s="15" t="s">
        <v>35</v>
      </c>
      <c r="Y3" s="15" t="s">
        <v>36</v>
      </c>
    </row>
    <row r="4" spans="1:25" ht="12.75" x14ac:dyDescent="0.2">
      <c r="A4" s="12" t="s">
        <v>37</v>
      </c>
      <c r="B4" s="16" t="s">
        <v>38</v>
      </c>
      <c r="C4" s="12">
        <v>89118002969</v>
      </c>
      <c r="D4" s="12" t="s">
        <v>29</v>
      </c>
      <c r="E4" s="12" t="s">
        <v>39</v>
      </c>
      <c r="F4" s="12" t="s">
        <v>40</v>
      </c>
      <c r="G4" s="12" t="s">
        <v>32</v>
      </c>
      <c r="H4" s="12">
        <v>33</v>
      </c>
      <c r="I4" s="13">
        <f t="shared" si="0"/>
        <v>3</v>
      </c>
      <c r="J4" s="12" t="s">
        <v>26</v>
      </c>
      <c r="K4" s="12" t="s">
        <v>26</v>
      </c>
      <c r="L4" s="12" t="s">
        <v>26</v>
      </c>
      <c r="M4" s="12" t="s">
        <v>33</v>
      </c>
      <c r="N4">
        <v>1</v>
      </c>
      <c r="O4" s="14">
        <v>2</v>
      </c>
      <c r="P4" s="14">
        <v>3</v>
      </c>
      <c r="Q4">
        <v>4</v>
      </c>
      <c r="R4" s="14">
        <v>5</v>
      </c>
      <c r="S4" s="14">
        <v>6</v>
      </c>
      <c r="T4">
        <v>7</v>
      </c>
      <c r="U4" s="14">
        <v>8</v>
      </c>
      <c r="V4" s="12"/>
      <c r="W4" s="17" t="s">
        <v>41</v>
      </c>
      <c r="X4" s="18">
        <f>COUNTIF(J:J, "Да")</f>
        <v>26</v>
      </c>
      <c r="Y4" s="17">
        <v>90</v>
      </c>
    </row>
    <row r="5" spans="1:25" ht="12.75" x14ac:dyDescent="0.2">
      <c r="A5" s="12" t="s">
        <v>42</v>
      </c>
      <c r="B5" s="16" t="s">
        <v>43</v>
      </c>
      <c r="C5" s="12">
        <v>89171106075</v>
      </c>
      <c r="D5" s="12" t="s">
        <v>29</v>
      </c>
      <c r="E5" s="12" t="s">
        <v>44</v>
      </c>
      <c r="F5" s="12" t="s">
        <v>45</v>
      </c>
      <c r="G5" s="12" t="s">
        <v>25</v>
      </c>
      <c r="H5" s="12">
        <v>35</v>
      </c>
      <c r="I5" s="13">
        <f t="shared" si="0"/>
        <v>3</v>
      </c>
      <c r="J5" s="12" t="s">
        <v>26</v>
      </c>
      <c r="K5" s="12" t="s">
        <v>26</v>
      </c>
      <c r="L5" s="12" t="s">
        <v>26</v>
      </c>
      <c r="M5" s="12" t="s">
        <v>33</v>
      </c>
      <c r="N5">
        <v>1</v>
      </c>
      <c r="O5" s="14">
        <v>2</v>
      </c>
      <c r="P5" s="14">
        <v>3</v>
      </c>
      <c r="Q5">
        <v>4</v>
      </c>
      <c r="R5" s="14">
        <v>5</v>
      </c>
      <c r="S5" s="14">
        <v>6</v>
      </c>
      <c r="T5">
        <v>7</v>
      </c>
      <c r="U5" s="14">
        <v>8</v>
      </c>
      <c r="V5" s="12"/>
      <c r="W5" s="17" t="s">
        <v>46</v>
      </c>
      <c r="X5" s="18">
        <f>COUNTIF(K:K, "Да")</f>
        <v>19</v>
      </c>
      <c r="Y5" s="17">
        <v>90</v>
      </c>
    </row>
    <row r="6" spans="1:25" ht="12.75" x14ac:dyDescent="0.2">
      <c r="A6" s="12" t="s">
        <v>47</v>
      </c>
      <c r="B6" s="12" t="s">
        <v>48</v>
      </c>
      <c r="C6" s="12">
        <v>89163947948</v>
      </c>
      <c r="D6" s="12" t="s">
        <v>29</v>
      </c>
      <c r="E6" s="12" t="s">
        <v>49</v>
      </c>
      <c r="F6" s="12" t="s">
        <v>49</v>
      </c>
      <c r="G6" s="12" t="s">
        <v>32</v>
      </c>
      <c r="H6" s="12">
        <v>42</v>
      </c>
      <c r="I6" s="13">
        <f t="shared" si="0"/>
        <v>4</v>
      </c>
      <c r="J6" s="12" t="s">
        <v>26</v>
      </c>
      <c r="K6" s="12" t="s">
        <v>26</v>
      </c>
      <c r="L6" s="12" t="s">
        <v>26</v>
      </c>
      <c r="M6" s="12" t="s">
        <v>26</v>
      </c>
      <c r="N6">
        <v>1</v>
      </c>
      <c r="O6" s="14">
        <v>2</v>
      </c>
      <c r="P6" s="14">
        <v>3</v>
      </c>
      <c r="Q6">
        <v>4</v>
      </c>
      <c r="R6" s="14">
        <v>5</v>
      </c>
      <c r="S6" s="14">
        <v>6</v>
      </c>
      <c r="T6">
        <v>7</v>
      </c>
      <c r="U6" s="14">
        <v>8</v>
      </c>
      <c r="V6" s="12"/>
      <c r="W6" s="17" t="s">
        <v>50</v>
      </c>
      <c r="X6" s="18">
        <f>COUNTIF(L:L, "Да")</f>
        <v>23</v>
      </c>
      <c r="Y6" s="17">
        <v>90</v>
      </c>
    </row>
    <row r="7" spans="1:25" ht="12.75" x14ac:dyDescent="0.2">
      <c r="A7" s="12" t="s">
        <v>51</v>
      </c>
      <c r="B7" s="16" t="s">
        <v>52</v>
      </c>
      <c r="C7" s="12">
        <v>89869876416</v>
      </c>
      <c r="D7" s="12" t="s">
        <v>23</v>
      </c>
      <c r="E7" s="12" t="s">
        <v>53</v>
      </c>
      <c r="F7" s="12" t="s">
        <v>53</v>
      </c>
      <c r="G7" s="12" t="s">
        <v>25</v>
      </c>
      <c r="H7" s="12">
        <v>31</v>
      </c>
      <c r="I7" s="13">
        <f t="shared" si="0"/>
        <v>2</v>
      </c>
      <c r="J7" s="12" t="s">
        <v>33</v>
      </c>
      <c r="K7" s="12" t="s">
        <v>33</v>
      </c>
      <c r="L7" s="12" t="s">
        <v>26</v>
      </c>
      <c r="M7" s="12" t="s">
        <v>26</v>
      </c>
      <c r="N7">
        <v>1</v>
      </c>
      <c r="O7" s="14">
        <v>2</v>
      </c>
      <c r="P7" s="14">
        <v>3</v>
      </c>
      <c r="Q7">
        <v>4</v>
      </c>
      <c r="R7" s="14">
        <v>5</v>
      </c>
      <c r="S7" s="14">
        <v>6</v>
      </c>
      <c r="T7">
        <v>7</v>
      </c>
      <c r="U7" s="14">
        <v>8</v>
      </c>
      <c r="V7" s="12"/>
      <c r="W7" s="17" t="s">
        <v>54</v>
      </c>
      <c r="X7" s="18">
        <f>COUNTIF(M:M, "Да")</f>
        <v>17</v>
      </c>
      <c r="Y7" s="17">
        <v>90</v>
      </c>
    </row>
    <row r="8" spans="1:25" ht="12.75" x14ac:dyDescent="0.2">
      <c r="A8" s="12" t="s">
        <v>55</v>
      </c>
      <c r="B8" s="16" t="s">
        <v>56</v>
      </c>
      <c r="C8" s="12">
        <v>89913273527</v>
      </c>
      <c r="D8" s="12" t="s">
        <v>29</v>
      </c>
      <c r="E8" s="12" t="s">
        <v>57</v>
      </c>
      <c r="F8" s="12" t="s">
        <v>58</v>
      </c>
      <c r="G8" s="12" t="s">
        <v>25</v>
      </c>
      <c r="H8" s="12">
        <v>32</v>
      </c>
      <c r="I8" s="13">
        <f t="shared" si="0"/>
        <v>4</v>
      </c>
      <c r="J8" s="12" t="s">
        <v>26</v>
      </c>
      <c r="K8" s="12" t="s">
        <v>26</v>
      </c>
      <c r="L8" s="12" t="s">
        <v>26</v>
      </c>
      <c r="M8" s="12" t="s">
        <v>26</v>
      </c>
      <c r="N8">
        <v>1</v>
      </c>
      <c r="O8" s="14">
        <v>2</v>
      </c>
      <c r="P8" s="14">
        <v>3</v>
      </c>
      <c r="Q8">
        <v>4</v>
      </c>
      <c r="R8" s="14">
        <v>5</v>
      </c>
      <c r="S8" s="14">
        <v>6</v>
      </c>
      <c r="T8">
        <v>7</v>
      </c>
      <c r="U8" s="14">
        <v>8</v>
      </c>
    </row>
    <row r="9" spans="1:25" ht="12.75" x14ac:dyDescent="0.2">
      <c r="A9" s="12" t="s">
        <v>59</v>
      </c>
      <c r="B9" s="16" t="s">
        <v>60</v>
      </c>
      <c r="C9" s="12">
        <v>89152556278</v>
      </c>
      <c r="D9" s="12" t="s">
        <v>29</v>
      </c>
      <c r="E9" s="12" t="s">
        <v>53</v>
      </c>
      <c r="F9" s="12" t="s">
        <v>53</v>
      </c>
      <c r="G9" s="12" t="s">
        <v>32</v>
      </c>
      <c r="H9" s="12">
        <v>39</v>
      </c>
      <c r="I9" s="13">
        <f t="shared" si="0"/>
        <v>4</v>
      </c>
      <c r="J9" s="12" t="s">
        <v>26</v>
      </c>
      <c r="K9" s="12" t="s">
        <v>26</v>
      </c>
      <c r="L9" s="12" t="s">
        <v>26</v>
      </c>
      <c r="M9" s="12" t="s">
        <v>26</v>
      </c>
      <c r="N9">
        <v>1</v>
      </c>
      <c r="O9" s="14">
        <v>2</v>
      </c>
      <c r="P9" s="14">
        <v>3</v>
      </c>
      <c r="Q9">
        <v>4</v>
      </c>
      <c r="R9" s="14">
        <v>5</v>
      </c>
      <c r="S9" s="14">
        <v>6</v>
      </c>
      <c r="T9">
        <v>7</v>
      </c>
      <c r="U9" s="14">
        <v>8</v>
      </c>
    </row>
    <row r="10" spans="1:25" ht="12.75" x14ac:dyDescent="0.2">
      <c r="A10" s="12" t="s">
        <v>61</v>
      </c>
      <c r="B10" s="12" t="s">
        <v>62</v>
      </c>
      <c r="C10" s="12">
        <v>89827023992</v>
      </c>
      <c r="D10" s="12" t="s">
        <v>29</v>
      </c>
      <c r="E10" s="12" t="s">
        <v>63</v>
      </c>
      <c r="F10" s="12" t="s">
        <v>64</v>
      </c>
      <c r="G10" s="12" t="s">
        <v>25</v>
      </c>
      <c r="H10" s="12">
        <v>36</v>
      </c>
      <c r="I10" s="13">
        <f t="shared" si="0"/>
        <v>4</v>
      </c>
      <c r="J10" s="12" t="s">
        <v>26</v>
      </c>
      <c r="K10" s="12" t="s">
        <v>26</v>
      </c>
      <c r="L10" s="12" t="s">
        <v>26</v>
      </c>
      <c r="M10" s="12" t="s">
        <v>26</v>
      </c>
      <c r="N10">
        <v>1</v>
      </c>
      <c r="O10" s="14">
        <v>2</v>
      </c>
      <c r="P10" s="14">
        <v>3</v>
      </c>
      <c r="Q10">
        <v>4</v>
      </c>
      <c r="R10" s="14">
        <v>5</v>
      </c>
      <c r="S10" s="14">
        <v>6</v>
      </c>
      <c r="T10">
        <v>7</v>
      </c>
      <c r="U10" s="14">
        <v>8</v>
      </c>
    </row>
    <row r="11" spans="1:25" ht="12.75" x14ac:dyDescent="0.2">
      <c r="A11" s="12" t="s">
        <v>65</v>
      </c>
      <c r="B11" s="12" t="s">
        <v>66</v>
      </c>
      <c r="C11" s="12">
        <v>89017467378</v>
      </c>
      <c r="D11" s="12" t="s">
        <v>23</v>
      </c>
      <c r="E11" s="12" t="s">
        <v>49</v>
      </c>
      <c r="F11" s="12" t="s">
        <v>53</v>
      </c>
      <c r="G11" s="12" t="s">
        <v>32</v>
      </c>
      <c r="H11" s="12">
        <v>33</v>
      </c>
      <c r="I11" s="13">
        <f t="shared" si="0"/>
        <v>4</v>
      </c>
      <c r="J11" s="12" t="s">
        <v>26</v>
      </c>
      <c r="K11" s="12" t="s">
        <v>26</v>
      </c>
      <c r="L11" s="12" t="s">
        <v>26</v>
      </c>
      <c r="M11" s="12" t="s">
        <v>26</v>
      </c>
      <c r="N11">
        <v>1</v>
      </c>
      <c r="O11" s="14">
        <v>2</v>
      </c>
      <c r="P11" s="14">
        <v>3</v>
      </c>
      <c r="Q11">
        <v>4</v>
      </c>
      <c r="R11" s="14">
        <v>5</v>
      </c>
      <c r="S11" s="14">
        <v>6</v>
      </c>
      <c r="T11">
        <v>7</v>
      </c>
      <c r="U11" s="14">
        <v>8</v>
      </c>
    </row>
    <row r="12" spans="1:25" ht="12.75" x14ac:dyDescent="0.2">
      <c r="A12" s="12" t="s">
        <v>67</v>
      </c>
      <c r="B12" s="12" t="s">
        <v>68</v>
      </c>
      <c r="C12" s="12">
        <v>89588214329</v>
      </c>
      <c r="D12" s="12" t="s">
        <v>29</v>
      </c>
      <c r="E12" s="12" t="s">
        <v>53</v>
      </c>
      <c r="F12" s="12" t="s">
        <v>53</v>
      </c>
      <c r="G12" s="12" t="s">
        <v>25</v>
      </c>
      <c r="H12" s="12">
        <v>45</v>
      </c>
      <c r="I12" s="13">
        <f t="shared" si="0"/>
        <v>3</v>
      </c>
      <c r="J12" s="12" t="s">
        <v>26</v>
      </c>
      <c r="K12" s="12" t="s">
        <v>26</v>
      </c>
      <c r="L12" s="12" t="s">
        <v>33</v>
      </c>
      <c r="M12" s="12" t="s">
        <v>26</v>
      </c>
      <c r="N12">
        <v>1</v>
      </c>
      <c r="O12" s="14">
        <v>2</v>
      </c>
      <c r="P12" s="14">
        <v>3</v>
      </c>
      <c r="Q12">
        <v>4</v>
      </c>
      <c r="R12" s="14">
        <v>5</v>
      </c>
      <c r="S12" s="14">
        <v>6</v>
      </c>
      <c r="T12">
        <v>7</v>
      </c>
      <c r="U12" s="14">
        <v>8</v>
      </c>
    </row>
    <row r="13" spans="1:25" ht="12.75" x14ac:dyDescent="0.2">
      <c r="A13" s="12" t="s">
        <v>69</v>
      </c>
      <c r="B13" s="16" t="s">
        <v>70</v>
      </c>
      <c r="C13" s="12">
        <v>89213285851</v>
      </c>
      <c r="D13" s="12" t="s">
        <v>29</v>
      </c>
      <c r="E13" s="12" t="s">
        <v>24</v>
      </c>
      <c r="F13" s="12" t="s">
        <v>24</v>
      </c>
      <c r="G13" s="12" t="s">
        <v>32</v>
      </c>
      <c r="H13" s="12">
        <v>51</v>
      </c>
      <c r="I13" s="13">
        <f t="shared" si="0"/>
        <v>4</v>
      </c>
      <c r="J13" s="12" t="s">
        <v>26</v>
      </c>
      <c r="K13" s="12" t="s">
        <v>26</v>
      </c>
      <c r="L13" s="12" t="s">
        <v>26</v>
      </c>
      <c r="M13" s="12" t="s">
        <v>26</v>
      </c>
      <c r="N13">
        <v>1</v>
      </c>
      <c r="O13" s="14">
        <v>2</v>
      </c>
      <c r="P13" s="14">
        <v>3</v>
      </c>
      <c r="Q13">
        <v>4</v>
      </c>
      <c r="R13" s="14">
        <v>5</v>
      </c>
      <c r="S13" s="14">
        <v>6</v>
      </c>
      <c r="T13">
        <v>7</v>
      </c>
      <c r="U13" s="14">
        <v>8</v>
      </c>
    </row>
    <row r="14" spans="1:25" ht="12.75" x14ac:dyDescent="0.2">
      <c r="A14" s="12" t="s">
        <v>71</v>
      </c>
      <c r="B14" s="16" t="s">
        <v>72</v>
      </c>
      <c r="C14" s="12">
        <v>89038279000</v>
      </c>
      <c r="D14" s="12" t="s">
        <v>29</v>
      </c>
      <c r="E14" s="12" t="s">
        <v>73</v>
      </c>
      <c r="F14" s="12" t="s">
        <v>74</v>
      </c>
      <c r="G14" s="12" t="s">
        <v>25</v>
      </c>
      <c r="H14" s="12">
        <v>53</v>
      </c>
      <c r="I14" s="13">
        <v>2</v>
      </c>
      <c r="J14" s="12" t="s">
        <v>26</v>
      </c>
      <c r="K14" s="12" t="s">
        <v>26</v>
      </c>
      <c r="L14" s="12" t="s">
        <v>33</v>
      </c>
      <c r="M14" s="12" t="s">
        <v>33</v>
      </c>
      <c r="N14">
        <v>1</v>
      </c>
      <c r="O14" s="14">
        <v>2</v>
      </c>
      <c r="P14" s="14">
        <v>3</v>
      </c>
      <c r="Q14">
        <v>4</v>
      </c>
      <c r="R14" s="14">
        <v>5</v>
      </c>
      <c r="S14" s="14">
        <v>6</v>
      </c>
      <c r="T14">
        <v>7</v>
      </c>
      <c r="U14" s="14">
        <v>8</v>
      </c>
      <c r="V14" s="19"/>
      <c r="W14" s="19"/>
      <c r="Y14" s="19"/>
    </row>
    <row r="15" spans="1:25" ht="12.75" x14ac:dyDescent="0.2">
      <c r="A15" s="12" t="s">
        <v>75</v>
      </c>
      <c r="B15" s="16" t="s">
        <v>76</v>
      </c>
      <c r="C15" s="12">
        <v>89228008587</v>
      </c>
      <c r="D15" s="12" t="s">
        <v>23</v>
      </c>
      <c r="E15" s="12" t="s">
        <v>77</v>
      </c>
      <c r="F15" s="12" t="s">
        <v>53</v>
      </c>
      <c r="G15" s="12" t="s">
        <v>32</v>
      </c>
      <c r="H15" s="12">
        <v>31</v>
      </c>
      <c r="I15" s="13">
        <v>3</v>
      </c>
      <c r="J15" s="12" t="s">
        <v>26</v>
      </c>
      <c r="K15" s="12" t="s">
        <v>33</v>
      </c>
      <c r="L15" s="12" t="s">
        <v>26</v>
      </c>
      <c r="M15" s="12" t="s">
        <v>26</v>
      </c>
      <c r="N15">
        <v>1</v>
      </c>
      <c r="O15" s="14">
        <v>2</v>
      </c>
      <c r="P15" s="14">
        <v>3</v>
      </c>
      <c r="Q15">
        <v>4</v>
      </c>
      <c r="R15" s="14">
        <v>5</v>
      </c>
      <c r="S15" s="14">
        <v>6</v>
      </c>
      <c r="T15">
        <v>7</v>
      </c>
      <c r="U15" s="14">
        <v>8</v>
      </c>
      <c r="V15" s="19"/>
      <c r="W15" s="19"/>
      <c r="Y15" s="19"/>
    </row>
    <row r="16" spans="1:25" ht="12.75" x14ac:dyDescent="0.2">
      <c r="A16" s="12" t="s">
        <v>78</v>
      </c>
      <c r="B16" s="16" t="s">
        <v>79</v>
      </c>
      <c r="C16" s="12">
        <v>89290220229</v>
      </c>
      <c r="D16" s="12" t="s">
        <v>29</v>
      </c>
      <c r="E16" s="12">
        <v>32</v>
      </c>
      <c r="F16" s="12" t="s">
        <v>80</v>
      </c>
      <c r="G16" s="12" t="s">
        <v>25</v>
      </c>
      <c r="H16" s="12">
        <v>43</v>
      </c>
      <c r="I16" s="13">
        <v>2</v>
      </c>
      <c r="J16" s="12" t="s">
        <v>26</v>
      </c>
      <c r="K16" s="12" t="s">
        <v>33</v>
      </c>
      <c r="L16" s="12" t="s">
        <v>26</v>
      </c>
      <c r="M16" s="12" t="s">
        <v>33</v>
      </c>
      <c r="N16">
        <v>1</v>
      </c>
      <c r="O16" s="14">
        <v>2</v>
      </c>
      <c r="P16" s="14">
        <v>3</v>
      </c>
      <c r="Q16">
        <v>4</v>
      </c>
      <c r="R16" s="14">
        <v>5</v>
      </c>
      <c r="S16" s="14">
        <v>6</v>
      </c>
      <c r="T16">
        <v>7</v>
      </c>
      <c r="U16" s="14">
        <v>8</v>
      </c>
      <c r="V16" s="19"/>
      <c r="W16" s="19"/>
      <c r="Y16" s="19"/>
    </row>
    <row r="17" spans="1:25" ht="12.75" x14ac:dyDescent="0.2">
      <c r="A17" s="12" t="s">
        <v>81</v>
      </c>
      <c r="B17" s="12" t="s">
        <v>82</v>
      </c>
      <c r="C17" s="12">
        <v>89516429015</v>
      </c>
      <c r="D17" s="12" t="s">
        <v>23</v>
      </c>
      <c r="E17" s="12" t="s">
        <v>83</v>
      </c>
      <c r="F17" s="12" t="s">
        <v>83</v>
      </c>
      <c r="G17" s="12" t="s">
        <v>25</v>
      </c>
      <c r="H17" s="12">
        <v>37</v>
      </c>
      <c r="I17" s="13">
        <v>2</v>
      </c>
      <c r="J17" s="12" t="s">
        <v>26</v>
      </c>
      <c r="K17" s="12" t="s">
        <v>33</v>
      </c>
      <c r="L17" s="12" t="s">
        <v>26</v>
      </c>
      <c r="M17" s="12" t="s">
        <v>33</v>
      </c>
      <c r="N17">
        <v>1</v>
      </c>
      <c r="O17" s="14">
        <v>2</v>
      </c>
      <c r="P17" s="14">
        <v>3</v>
      </c>
      <c r="Q17">
        <v>4</v>
      </c>
      <c r="R17" s="14">
        <v>5</v>
      </c>
      <c r="S17" s="14">
        <v>6</v>
      </c>
      <c r="T17">
        <v>7</v>
      </c>
      <c r="U17" s="14">
        <v>8</v>
      </c>
      <c r="V17" s="19"/>
      <c r="W17" s="19"/>
      <c r="Y17" s="19"/>
    </row>
    <row r="18" spans="1:25" ht="12.75" x14ac:dyDescent="0.2">
      <c r="A18" s="12" t="s">
        <v>84</v>
      </c>
      <c r="B18" s="16" t="s">
        <v>85</v>
      </c>
      <c r="C18" s="12">
        <v>89601483424</v>
      </c>
      <c r="D18" s="12" t="s">
        <v>29</v>
      </c>
      <c r="E18" s="12" t="s">
        <v>86</v>
      </c>
      <c r="F18" s="12" t="s">
        <v>87</v>
      </c>
      <c r="G18" s="12" t="s">
        <v>25</v>
      </c>
      <c r="H18" s="12">
        <v>47</v>
      </c>
      <c r="I18" s="13">
        <v>4</v>
      </c>
      <c r="J18" s="12" t="s">
        <v>26</v>
      </c>
      <c r="K18" s="12" t="s">
        <v>26</v>
      </c>
      <c r="L18" s="12" t="s">
        <v>26</v>
      </c>
      <c r="M18" s="12" t="s">
        <v>26</v>
      </c>
      <c r="N18">
        <v>1</v>
      </c>
      <c r="O18" s="14">
        <v>2</v>
      </c>
      <c r="P18" s="14">
        <v>3</v>
      </c>
      <c r="Q18">
        <v>4</v>
      </c>
      <c r="R18" s="14">
        <v>5</v>
      </c>
      <c r="S18" s="14">
        <v>6</v>
      </c>
      <c r="T18">
        <v>7</v>
      </c>
      <c r="U18" s="14">
        <v>8</v>
      </c>
      <c r="V18" s="19"/>
      <c r="W18" s="19"/>
      <c r="Y18" s="19"/>
    </row>
    <row r="19" spans="1:25" ht="12.75" x14ac:dyDescent="0.2">
      <c r="A19" s="12" t="s">
        <v>88</v>
      </c>
      <c r="B19" s="16" t="s">
        <v>89</v>
      </c>
      <c r="C19" s="12">
        <v>89859924430</v>
      </c>
      <c r="D19" s="12" t="s">
        <v>23</v>
      </c>
      <c r="E19" s="12" t="s">
        <v>53</v>
      </c>
      <c r="F19" s="12" t="s">
        <v>53</v>
      </c>
      <c r="G19" s="12" t="s">
        <v>25</v>
      </c>
      <c r="H19" s="12">
        <v>40</v>
      </c>
      <c r="I19" s="13">
        <v>2</v>
      </c>
      <c r="J19" s="12" t="s">
        <v>26</v>
      </c>
      <c r="K19" s="12" t="s">
        <v>26</v>
      </c>
      <c r="L19" s="12" t="s">
        <v>33</v>
      </c>
      <c r="M19" s="12" t="s">
        <v>33</v>
      </c>
      <c r="N19">
        <v>1</v>
      </c>
      <c r="O19" s="14">
        <v>2</v>
      </c>
      <c r="P19" s="14">
        <v>3</v>
      </c>
      <c r="Q19">
        <v>4</v>
      </c>
      <c r="R19" s="14">
        <v>5</v>
      </c>
      <c r="S19" s="14">
        <v>6</v>
      </c>
      <c r="T19">
        <v>7</v>
      </c>
      <c r="U19" s="14">
        <v>8</v>
      </c>
    </row>
    <row r="20" spans="1:25" ht="12.75" x14ac:dyDescent="0.2">
      <c r="A20" s="12" t="s">
        <v>90</v>
      </c>
      <c r="B20" s="16" t="s">
        <v>91</v>
      </c>
      <c r="C20" s="12">
        <v>89043817591</v>
      </c>
      <c r="D20" s="12" t="s">
        <v>29</v>
      </c>
      <c r="E20" s="12" t="s">
        <v>92</v>
      </c>
      <c r="F20" s="12" t="s">
        <v>93</v>
      </c>
      <c r="G20" s="12" t="s">
        <v>32</v>
      </c>
      <c r="H20" s="12">
        <v>40</v>
      </c>
      <c r="I20" s="13">
        <v>4</v>
      </c>
      <c r="J20" s="12" t="s">
        <v>26</v>
      </c>
      <c r="K20" s="12" t="s">
        <v>26</v>
      </c>
      <c r="L20" s="12" t="s">
        <v>26</v>
      </c>
      <c r="M20" s="12" t="s">
        <v>26</v>
      </c>
      <c r="N20">
        <v>1</v>
      </c>
      <c r="O20" s="14">
        <v>2</v>
      </c>
      <c r="P20" s="14">
        <v>3</v>
      </c>
      <c r="Q20">
        <v>4</v>
      </c>
      <c r="R20" s="14">
        <v>5</v>
      </c>
      <c r="S20" s="14">
        <v>6</v>
      </c>
      <c r="T20">
        <v>7</v>
      </c>
      <c r="U20" s="14">
        <v>8</v>
      </c>
    </row>
    <row r="21" spans="1:25" ht="12.75" x14ac:dyDescent="0.2">
      <c r="A21" s="12" t="s">
        <v>94</v>
      </c>
      <c r="B21" s="12" t="s">
        <v>95</v>
      </c>
      <c r="C21" s="12">
        <v>89265105883</v>
      </c>
      <c r="D21" s="12" t="s">
        <v>29</v>
      </c>
      <c r="E21" s="12" t="s">
        <v>53</v>
      </c>
      <c r="F21" s="12" t="s">
        <v>53</v>
      </c>
      <c r="G21" s="12" t="s">
        <v>25</v>
      </c>
      <c r="H21" s="12">
        <v>43</v>
      </c>
      <c r="I21" s="13">
        <v>4</v>
      </c>
      <c r="J21" s="12" t="s">
        <v>26</v>
      </c>
      <c r="K21" s="12" t="s">
        <v>26</v>
      </c>
      <c r="L21" s="12" t="s">
        <v>26</v>
      </c>
      <c r="M21" s="12" t="s">
        <v>26</v>
      </c>
      <c r="N21">
        <v>1</v>
      </c>
      <c r="O21" s="14">
        <v>2</v>
      </c>
      <c r="P21" s="14">
        <v>3</v>
      </c>
      <c r="Q21">
        <v>4</v>
      </c>
      <c r="R21" s="14">
        <v>5</v>
      </c>
      <c r="S21" s="14">
        <v>6</v>
      </c>
      <c r="T21">
        <v>7</v>
      </c>
      <c r="U21" s="14">
        <v>8</v>
      </c>
    </row>
    <row r="22" spans="1:25" ht="12.75" x14ac:dyDescent="0.2">
      <c r="A22" s="12" t="s">
        <v>96</v>
      </c>
      <c r="B22" s="12" t="s">
        <v>97</v>
      </c>
      <c r="C22" s="12">
        <v>89530897291</v>
      </c>
      <c r="D22" s="12" t="s">
        <v>23</v>
      </c>
      <c r="E22" s="12" t="s">
        <v>98</v>
      </c>
      <c r="F22" s="12" t="s">
        <v>99</v>
      </c>
      <c r="G22" s="12" t="s">
        <v>25</v>
      </c>
      <c r="H22" s="12">
        <v>39</v>
      </c>
      <c r="I22" s="13">
        <v>3</v>
      </c>
      <c r="J22" s="12" t="s">
        <v>26</v>
      </c>
      <c r="K22" s="12" t="s">
        <v>26</v>
      </c>
      <c r="L22" s="12" t="s">
        <v>26</v>
      </c>
      <c r="M22" s="12" t="s">
        <v>33</v>
      </c>
      <c r="N22">
        <v>1</v>
      </c>
      <c r="O22" s="14">
        <v>2</v>
      </c>
      <c r="P22" s="14">
        <v>3</v>
      </c>
      <c r="Q22">
        <v>4</v>
      </c>
      <c r="R22" s="14">
        <v>5</v>
      </c>
      <c r="S22" s="14">
        <v>6</v>
      </c>
      <c r="T22">
        <v>7</v>
      </c>
      <c r="U22" s="14">
        <v>8</v>
      </c>
    </row>
    <row r="23" spans="1:25" ht="12.75" x14ac:dyDescent="0.2">
      <c r="A23" s="12" t="s">
        <v>100</v>
      </c>
      <c r="B23" s="12" t="s">
        <v>101</v>
      </c>
      <c r="C23" s="12">
        <v>89101210600</v>
      </c>
      <c r="D23" s="12" t="s">
        <v>23</v>
      </c>
      <c r="E23" s="12" t="s">
        <v>102</v>
      </c>
      <c r="F23" s="12" t="s">
        <v>103</v>
      </c>
      <c r="G23" s="12" t="s">
        <v>32</v>
      </c>
      <c r="H23" s="12">
        <v>38</v>
      </c>
      <c r="I23" s="13">
        <v>2</v>
      </c>
      <c r="J23" s="12" t="s">
        <v>26</v>
      </c>
      <c r="K23" s="12" t="s">
        <v>33</v>
      </c>
      <c r="L23" s="12" t="s">
        <v>33</v>
      </c>
      <c r="M23" s="12" t="s">
        <v>26</v>
      </c>
      <c r="N23">
        <v>1</v>
      </c>
      <c r="O23" s="14">
        <v>2</v>
      </c>
      <c r="P23" s="14">
        <v>3</v>
      </c>
      <c r="Q23">
        <v>4</v>
      </c>
      <c r="R23" s="14">
        <v>5</v>
      </c>
      <c r="S23" s="14">
        <v>6</v>
      </c>
      <c r="T23">
        <v>7</v>
      </c>
      <c r="U23" s="14">
        <v>8</v>
      </c>
    </row>
    <row r="24" spans="1:25" ht="12.75" x14ac:dyDescent="0.2">
      <c r="A24" s="12" t="s">
        <v>104</v>
      </c>
      <c r="B24" s="12" t="s">
        <v>105</v>
      </c>
      <c r="C24" s="12">
        <v>89245122895</v>
      </c>
      <c r="D24" s="12" t="s">
        <v>23</v>
      </c>
      <c r="E24" s="12" t="s">
        <v>106</v>
      </c>
      <c r="F24" s="12" t="s">
        <v>107</v>
      </c>
      <c r="G24" s="12" t="s">
        <v>32</v>
      </c>
      <c r="H24" s="12">
        <v>36</v>
      </c>
      <c r="I24" s="13">
        <v>3</v>
      </c>
      <c r="J24" s="12" t="s">
        <v>26</v>
      </c>
      <c r="K24" s="12" t="s">
        <v>26</v>
      </c>
      <c r="L24" s="12" t="s">
        <v>26</v>
      </c>
      <c r="M24" s="12" t="s">
        <v>33</v>
      </c>
      <c r="N24">
        <v>1</v>
      </c>
      <c r="O24" s="14">
        <v>2</v>
      </c>
      <c r="P24" s="14">
        <v>3</v>
      </c>
      <c r="Q24">
        <v>4</v>
      </c>
      <c r="R24" s="14">
        <v>5</v>
      </c>
      <c r="S24" s="14">
        <v>6</v>
      </c>
      <c r="T24">
        <v>7</v>
      </c>
      <c r="U24" s="14">
        <v>8</v>
      </c>
    </row>
    <row r="25" spans="1:25" ht="12.75" x14ac:dyDescent="0.2">
      <c r="A25" s="12" t="s">
        <v>108</v>
      </c>
      <c r="B25" s="16" t="s">
        <v>109</v>
      </c>
      <c r="C25" s="12">
        <v>89523546538</v>
      </c>
      <c r="D25" s="12" t="s">
        <v>23</v>
      </c>
      <c r="E25" s="12" t="s">
        <v>83</v>
      </c>
      <c r="F25" s="12" t="s">
        <v>83</v>
      </c>
      <c r="G25" s="12" t="s">
        <v>25</v>
      </c>
      <c r="H25" s="12">
        <v>27</v>
      </c>
      <c r="I25" s="13">
        <v>4</v>
      </c>
      <c r="J25" s="12" t="s">
        <v>26</v>
      </c>
      <c r="K25" s="12" t="s">
        <v>26</v>
      </c>
      <c r="L25" s="12" t="s">
        <v>26</v>
      </c>
      <c r="M25" s="12" t="s">
        <v>26</v>
      </c>
      <c r="N25">
        <v>1</v>
      </c>
      <c r="O25" s="14">
        <v>2</v>
      </c>
      <c r="P25" s="14">
        <v>3</v>
      </c>
      <c r="Q25">
        <v>4</v>
      </c>
      <c r="R25" s="14">
        <v>5</v>
      </c>
      <c r="S25" s="14">
        <v>6</v>
      </c>
      <c r="T25">
        <v>7</v>
      </c>
      <c r="U25" s="14">
        <v>8</v>
      </c>
    </row>
    <row r="26" spans="1:25" ht="12.75" x14ac:dyDescent="0.2">
      <c r="A26" s="12" t="s">
        <v>110</v>
      </c>
      <c r="B26" s="12" t="s">
        <v>111</v>
      </c>
      <c r="C26" s="12">
        <v>89196106589</v>
      </c>
      <c r="D26" s="12" t="s">
        <v>23</v>
      </c>
      <c r="E26" s="12" t="s">
        <v>112</v>
      </c>
      <c r="F26" s="12" t="s">
        <v>113</v>
      </c>
      <c r="G26" s="12" t="s">
        <v>25</v>
      </c>
      <c r="H26" s="12">
        <v>32</v>
      </c>
      <c r="I26" s="13">
        <v>2</v>
      </c>
      <c r="J26" s="12" t="s">
        <v>26</v>
      </c>
      <c r="K26" s="12" t="s">
        <v>33</v>
      </c>
      <c r="L26" s="12" t="s">
        <v>26</v>
      </c>
      <c r="M26" s="12" t="s">
        <v>33</v>
      </c>
      <c r="N26">
        <v>1</v>
      </c>
      <c r="O26" s="14">
        <v>2</v>
      </c>
      <c r="P26" s="14">
        <v>3</v>
      </c>
      <c r="Q26">
        <v>4</v>
      </c>
      <c r="R26" s="14">
        <v>5</v>
      </c>
      <c r="S26" s="14">
        <v>6</v>
      </c>
      <c r="T26">
        <v>7</v>
      </c>
      <c r="U26" s="14">
        <v>8</v>
      </c>
    </row>
    <row r="27" spans="1:25" ht="12.75" x14ac:dyDescent="0.2">
      <c r="A27" s="12" t="s">
        <v>114</v>
      </c>
      <c r="B27" s="16" t="s">
        <v>115</v>
      </c>
      <c r="C27" s="12">
        <v>89105012024</v>
      </c>
      <c r="D27" s="12" t="s">
        <v>23</v>
      </c>
      <c r="E27" s="12" t="s">
        <v>116</v>
      </c>
      <c r="F27" s="12" t="s">
        <v>116</v>
      </c>
      <c r="G27" s="12" t="s">
        <v>25</v>
      </c>
      <c r="H27" s="12">
        <v>28</v>
      </c>
      <c r="I27" s="13">
        <v>2</v>
      </c>
      <c r="J27" s="12" t="s">
        <v>26</v>
      </c>
      <c r="K27" s="12" t="s">
        <v>26</v>
      </c>
      <c r="L27" s="12" t="s">
        <v>26</v>
      </c>
      <c r="M27" s="12" t="s">
        <v>26</v>
      </c>
      <c r="N27">
        <v>1</v>
      </c>
      <c r="O27" s="14">
        <v>2</v>
      </c>
      <c r="P27" s="14">
        <v>3</v>
      </c>
      <c r="Q27">
        <v>4</v>
      </c>
      <c r="R27" s="14">
        <v>5</v>
      </c>
      <c r="S27" s="14">
        <v>6</v>
      </c>
      <c r="T27">
        <v>7</v>
      </c>
      <c r="U27" s="14">
        <v>8</v>
      </c>
    </row>
    <row r="28" spans="1:25" ht="12.75" x14ac:dyDescent="0.2">
      <c r="A28" s="12" t="s">
        <v>117</v>
      </c>
      <c r="B28" s="16" t="s">
        <v>118</v>
      </c>
      <c r="C28" s="12">
        <v>89601038602</v>
      </c>
      <c r="D28" s="12" t="s">
        <v>29</v>
      </c>
      <c r="E28" s="12" t="s">
        <v>57</v>
      </c>
      <c r="F28" s="12" t="s">
        <v>58</v>
      </c>
      <c r="G28" s="12" t="s">
        <v>25</v>
      </c>
      <c r="H28" s="12">
        <v>34</v>
      </c>
      <c r="I28" s="13">
        <v>2</v>
      </c>
      <c r="J28" s="12" t="s">
        <v>26</v>
      </c>
      <c r="K28" s="12" t="s">
        <v>33</v>
      </c>
      <c r="L28" s="12" t="s">
        <v>26</v>
      </c>
      <c r="M28" s="12" t="s">
        <v>33</v>
      </c>
      <c r="N28">
        <v>1</v>
      </c>
      <c r="O28" s="14">
        <v>2</v>
      </c>
      <c r="P28" s="14">
        <v>3</v>
      </c>
      <c r="Q28">
        <v>4</v>
      </c>
      <c r="R28" s="14">
        <v>5</v>
      </c>
      <c r="S28" s="14">
        <v>6</v>
      </c>
      <c r="T28">
        <v>7</v>
      </c>
      <c r="U28" s="14">
        <v>8</v>
      </c>
    </row>
    <row r="29" spans="1:25" ht="15.75" customHeight="1" x14ac:dyDescent="0.2">
      <c r="O29" s="14"/>
      <c r="P29" s="14"/>
      <c r="R29" s="14"/>
      <c r="S29" s="14"/>
      <c r="U29" s="14"/>
    </row>
    <row r="30" spans="1:25" ht="15.75" customHeight="1" x14ac:dyDescent="0.2">
      <c r="O30" s="14"/>
      <c r="P30" s="14"/>
      <c r="R30" s="14"/>
      <c r="S30" s="14"/>
      <c r="U30" s="14"/>
    </row>
  </sheetData>
  <conditionalFormatting sqref="H19:H20 H23:H26 H28">
    <cfRule type="cellIs" dxfId="4" priority="1" operator="notBetween">
      <formula>18</formula>
      <formula>55</formula>
    </cfRule>
  </conditionalFormatting>
  <conditionalFormatting sqref="I19:I20 I23:I28">
    <cfRule type="cellIs" dxfId="3" priority="2" operator="lessThan">
      <formula>2</formula>
    </cfRule>
  </conditionalFormatting>
  <conditionalFormatting sqref="G14:G18">
    <cfRule type="containsText" dxfId="2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7 A29:A996">
    <cfRule type="expression" dxfId="1" priority="4">
      <formula>COUNTIF(A:A,A1)&gt;=2</formula>
    </cfRule>
  </conditionalFormatting>
  <conditionalFormatting sqref="X4:X7">
    <cfRule type="cellIs" dxfId="0" priority="5" operator="greaterThanOrEqual">
      <formula>90</formula>
    </cfRule>
  </conditionalFormatting>
  <hyperlinks>
    <hyperlink ref="B4" r:id="rId1" xr:uid="{00000000-0004-0000-0000-000000000000}"/>
    <hyperlink ref="B5" r:id="rId2" xr:uid="{00000000-0004-0000-0000-000001000000}"/>
    <hyperlink ref="B7" r:id="rId3" xr:uid="{00000000-0004-0000-0000-000002000000}"/>
    <hyperlink ref="B8" r:id="rId4" xr:uid="{00000000-0004-0000-0000-000003000000}"/>
    <hyperlink ref="B9" r:id="rId5" xr:uid="{00000000-0004-0000-0000-000004000000}"/>
    <hyperlink ref="B13" r:id="rId6" xr:uid="{00000000-0004-0000-0000-000005000000}"/>
    <hyperlink ref="B14" r:id="rId7" xr:uid="{00000000-0004-0000-0000-000006000000}"/>
    <hyperlink ref="B15" r:id="rId8" xr:uid="{00000000-0004-0000-0000-000007000000}"/>
    <hyperlink ref="B16" r:id="rId9" xr:uid="{00000000-0004-0000-0000-000008000000}"/>
    <hyperlink ref="B18" r:id="rId10" xr:uid="{00000000-0004-0000-0000-000009000000}"/>
    <hyperlink ref="B19" r:id="rId11" xr:uid="{00000000-0004-0000-0000-00000A000000}"/>
    <hyperlink ref="B20" r:id="rId12" xr:uid="{00000000-0004-0000-0000-00000B000000}"/>
    <hyperlink ref="B25" r:id="rId13" xr:uid="{00000000-0004-0000-0000-00000C000000}"/>
    <hyperlink ref="B27" r:id="rId14" xr:uid="{00000000-0004-0000-0000-00000D000000}"/>
    <hyperlink ref="B28" r:id="rId15" xr:uid="{00000000-0004-0000-0000-00000E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Отобранные участники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</cp:lastModifiedBy>
  <dcterms:modified xsi:type="dcterms:W3CDTF">2025-11-20T14:34:59Z</dcterms:modified>
</cp:coreProperties>
</file>