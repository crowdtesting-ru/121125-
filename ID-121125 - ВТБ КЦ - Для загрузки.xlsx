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<sst xmlns="http://schemas.openxmlformats.org/spreadsheetml/2006/main" count="3290" uniqueCount="679">
  <si>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</si>
  <si>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</si>
  <si>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</si>
  <si>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</si>
  <si>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</si>
  <si>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</si>
  <si>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</si>
  <si>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</si>
  <si>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</si>
  <si>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</si>
  <si>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</si>
  <si>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</si>
  <si>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</si>
  <si>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</si>
  <si>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</si>
  <si>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</si>
  <si>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</si>
  <si>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</si>
  <si>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</si>
  <si>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</si>
  <si>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</si>
  <si>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</si>
  <si>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</si>
  <si>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</si>
  <si>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</si>
  <si>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</si>
  <si>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</si>
  <si>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</si>
  <si>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</si>
  <si>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</si>
  <si>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</si>
  <si>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</si>
  <si>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</si>
  <si>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</si>
  <si>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</si>
  <si>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</si>
  <si>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</si>
  <si>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</si>
  <si>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</si>
  <si>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</si>
  <si>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</si>
  <si>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</si>
  <si>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</si>
  <si>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</si>
  <si>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</si>
  <si>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</si>
  <si>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</si>
  <si>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</si>
  <si>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</si>
  <si>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</si>
  <si>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</si>
  <si>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</si>
  <si>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</si>
  <si>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</si>
  <si>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</si>
  <si>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</si>
  <si>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</si>
  <si>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</si>
  <si>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</si>
  <si>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</si>
  <si>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</si>
  <si>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</si>
  <si>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</si>
  <si>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</si>
  <si>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</si>
  <si>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</si>
  <si>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</si>
  <si>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</si>
  <si>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</si>
  <si>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</si>
  <si>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</si>
  <si>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</si>
  <si>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</si>
  <si>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</si>
  <si>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</si>
  <si>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</si>
  <si>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</si>
  <si>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</si>
  <si>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</si>
  <si>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</si>
  <si>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</si>
  <si>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</si>
  <si>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</si>
  <si>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</si>
  <si>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</si>
  <si>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</si>
  <si>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</si>
  <si>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</si>
  <si>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</si>
  <si>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</si>
  <si>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</si>
  <si>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</si>
  <si>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</si>
  <si>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</si>
  <si>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</si>
  <si>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</si>
  <si>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</si>
  <si>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</si>
  <si>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</si>
  <si>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</si>
  <si>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</si>
  <si>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</si>
  <si>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</si>
  <si>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</si>
  <si>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</si>
  <si>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</si>
  <si>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</si>
  <si>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</si>
  <si>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</si>
  <si>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</si>
  <si>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</si>
  <si>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</si>
  <si>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</si>
  <si>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</si>
  <si>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</si>
  <si>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</si>
  <si>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</si>
  <si>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</si>
  <si>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</si>
  <si>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</si>
  <si>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</si>
  <si>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</si>
  <si>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</si>
  <si>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</si>
  <si>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</si>
  <si>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</si>
  <si>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</si>
  <si>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</si>
  <si>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</si>
  <si>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</si>
  <si>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</si>
  <si>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</si>
  <si>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</si>
  <si>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</si>
  <si>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</si>
  <si>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</si>
  <si>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</si>
  <si>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</si>
  <si>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</si>
  <si>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</si>
  <si>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</si>
  <si>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</si>
  <si>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</si>
  <si>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</si>
  <si>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</si>
  <si>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</si>
  <si>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</si>
  <si>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</si>
  <si>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</si>
  <si>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</si>
  <si>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</si>
  <si>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</si>
  <si>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</si>
  <si>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</si>
  <si>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</si>
  <si>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</si>
  <si>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</si>
  <si>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</si>
  <si>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</si>
  <si>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</si>
  <si>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</si>
  <si>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</si>
  <si>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</si>
  <si>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</si>
  <si>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</si>
  <si>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</si>
  <si>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</si>
  <si>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</si>
  <si>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</si>
  <si>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</si>
  <si>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</si>
  <si>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</si>
  <si>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</si>
  <si>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</si>
  <si>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</si>
  <si>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</si>
  <si>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</si>
  <si>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</si>
  <si>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</si>
  <si>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</si>
  <si>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</si>
  <si>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</si>
  <si>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</si>
  <si>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</si>
  <si>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</si>
  <si>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</si>
  <si>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</si>
  <si>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</si>
  <si>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</si>
  <si>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</si>
  <si>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</si>
  <si>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</si>
  <si>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</si>
  <si>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</si>
  <si>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</si>
  <si>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</si>
  <si>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</si>
  <si>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</si>
  <si>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</si>
  <si>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</si>
  <si>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</si>
  <si>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</si>
  <si>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</si>
  <si>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</si>
  <si>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</si>
  <si>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</si>
  <si>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</si>
  <si>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</si>
  <si>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</si>
  <si>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</si>
  <si>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</si>
  <si>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</si>
  <si>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</si>
  <si>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</si>
  <si>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</si>
  <si>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</si>
  <si>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</si>
  <si>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</si>
  <si>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</si>
  <si>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</si>
  <si>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</si>
  <si>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</si>
  <si>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</si>
  <si>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</si>
  <si>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</si>
  <si>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</si>
  <si>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</si>
  <si>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</si>
  <si>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</si>
  <si>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</si>
  <si>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</si>
  <si>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</si>
  <si>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</si>
  <si>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</si>
  <si>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</si>
  <si>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</si>
  <si>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</si>
  <si>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</si>
  <si>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</si>
  <si>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</si>
  <si>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</si>
  <si>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</si>
  <si>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</si>
  <si>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</si>
  <si>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</si>
  <si>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</si>
  <si>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</si>
  <si>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</si>
  <si>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</si>
  <si>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</si>
  <si>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</si>
  <si>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</si>
  <si>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</si>
  <si>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</si>
  <si>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</si>
  <si>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</si>
  <si>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</si>
  <si>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</si>
  <si>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</si>
  <si>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</si>
  <si>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</si>
  <si>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</si>
  <si>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</si>
  <si>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</si>
  <si>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</si>
  <si>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</si>
  <si>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</si>
  <si>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</si>
  <si>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</si>
  <si>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</si>
  <si>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</si>
  <si>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</si>
  <si>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</si>
  <si>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</si>
  <si>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</si>
  <si>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</si>
  <si>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</si>
  <si>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</si>
  <si>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</si>
  <si>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</si>
  <si>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</si>
  <si>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</si>
  <si>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</si>
  <si>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</si>
  <si>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</si>
  <si>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</si>
  <si>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</si>
  <si>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</si>
  <si>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</si>
  <si>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</si>
  <si>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</si>
  <si>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</si>
  <si>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</si>
  <si>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</si>
  <si>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</si>
  <si>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</si>
  <si>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</si>
  <si>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</si>
  <si>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</si>
  <si>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</si>
  <si>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</si>
  <si>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</si>
  <si>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</si>
  <si>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</si>
  <si>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</si>
  <si>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</si>
  <si>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</si>
  <si>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</si>
  <si>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</si>
  <si>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</si>
  <si>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</si>
  <si>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</si>
  <si>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</si>
  <si>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</si>
  <si>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</si>
  <si>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</si>
  <si>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</si>
  <si>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</si>
  <si>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</si>
  <si>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</si>
  <si>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</si>
  <si>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</si>
  <si>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</si>
  <si>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</si>
  <si>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</si>
  <si>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</si>
  <si>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</si>
  <si>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</si>
  <si>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</si>
  <si>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</si>
  <si>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</si>
  <si>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</si>
  <si>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</si>
  <si>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</si>
  <si>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</si>
  <si>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</si>
  <si>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</si>
  <si>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</si>
  <si>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</si>
  <si>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</si>
  <si>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</si>
  <si>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</si>
  <si>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</si>
  <si>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</si>
  <si>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</si>
  <si>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</si>
  <si>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</si>
  <si>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</si>
  <si>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</si>
  <si>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</si>
  <si>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</si>
  <si>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</si>
  <si>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</si>
  <si>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</si>
  <si>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</si>
  <si>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</si>
  <si>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</si>
  <si>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</si>
  <si>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</si>
  <si>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</si>
  <si>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</si>
  <si>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</si>
  <si>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</si>
  <si>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</si>
  <si>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</si>
  <si>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</si>
  <si>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</si>
  <si>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</si>
  <si>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</si>
  <si>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</si>
  <si>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</si>
  <si>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</si>
  <si>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</si>
  <si>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</si>
  <si>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</si>
  <si>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</si>
  <si>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</si>
  <si>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</si>
  <si>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</si>
  <si>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</si>
  <si>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</si>
  <si>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</si>
  <si>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</si>
  <si>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</si>
  <si>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</si>
  <si>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</si>
  <si>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</si>
  <si>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</si>
  <si>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</si>
  <si>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</si>
  <si>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</si>
  <si>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</si>
  <si>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</si>
  <si>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</si>
  <si>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</si>
  <si>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</si>
  <si>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</si>
  <si>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</si>
  <si>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</si>
  <si>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</si>
  <si>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</si>
  <si>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</si>
  <si>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</si>
  <si>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</si>
  <si>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</si>
  <si>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</si>
  <si>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</si>
  <si>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</si>
  <si>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</si>
  <si>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</si>
  <si>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</si>
  <si>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</si>
  <si>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</si>
  <si>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</si>
  <si>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</si>
  <si>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</si>
  <si>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</si>
  <si>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</si>
  <si>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</si>
  <si>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</si>
  <si>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</si>
  <si>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</si>
  <si>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</si>
  <si>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</si>
  <si>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</si>
  <si>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</si>
  <si>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</si>
  <si>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</si>
  <si>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</si>
  <si>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</si>
  <si>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</si>
  <si>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</si>
  <si>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</si>
  <si>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</si>
  <si>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</si>
  <si>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</si>
  <si>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</si>
  <si>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</si>
  <si>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</si>
  <si>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</si>
  <si>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</si>
  <si>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</si>
  <si>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</si>
  <si>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</si>
  <si>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</si>
  <si>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</si>
  <si>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</si>
  <si>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</si>
  <si>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</si>
  <si>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</si>
  <si>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</si>
  <si>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</si>
  <si>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</si>
  <si>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</si>
  <si>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</si>
  <si>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</si>
  <si>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</si>
  <si>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</si>
  <si>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</si>
  <si>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</si>
  <si>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</si>
  <si>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</si>
  <si>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</si>
  <si>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</si>
  <si>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</si>
  <si>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</si>
  <si>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</si>
  <si>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</si>
  <si>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</si>
  <si>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</si>
  <si>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</si>
  <si>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</si>
  <si>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</si>
  <si>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</si>
  <si>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</si>
  <si>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</si>
  <si>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</si>
  <si>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</si>
  <si>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</si>
  <si>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</si>
  <si>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</si>
  <si>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</si>
  <si>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</si>
  <si>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</si>
  <si>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</si>
  <si>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</si>
  <si>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</si>
  <si>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</si>
  <si>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</si>
  <si>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</si>
  <si>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</si>
  <si>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</si>
  <si>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</si>
  <si>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</si>
  <si>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</si>
  <si>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</si>
  <si>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</si>
  <si>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</si>
  <si>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</si>
  <si>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</si>
  <si>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</si>
  <si>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</si>
  <si>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</si>
  <si>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</si>
  <si>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</si>
  <si>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</si>
  <si>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</si>
  <si>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</si>
  <si>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</si>
  <si>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</si>
  <si>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</si>
  <si>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</si>
  <si>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</si>
  <si>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</si>
  <si>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</si>
  <si>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</si>
  <si>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</si>
  <si>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</si>
  <si>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</si>
  <si>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</si>
  <si>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</si>
  <si>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</si>
  <si>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</si>
  <si>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</si>
  <si>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</si>
  <si>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</si>
  <si>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</si>
  <si>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</si>
  <si>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</si>
  <si>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</si>
  <si>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</si>
  <si>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</si>
  <si>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</si>
  <si>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</si>
  <si>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</si>
  <si>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</si>
  <si>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</si>
  <si>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</si>
  <si>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</si>
  <si>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</si>
  <si>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</si>
  <si>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</si>
  <si>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</si>
  <si>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</si>
  <si>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</si>
  <si>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</si>
  <si>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</si>
  <si>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</si>
  <si>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</si>
  <si>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</si>
  <si>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</si>
  <si>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</si>
  <si>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</si>
  <si>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</si>
  <si>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</si>
  <si>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</si>
  <si>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</si>
  <si>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</si>
  <si>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</si>
  <si>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</si>
  <si>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</si>
  <si>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</si>
  <si>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</si>
  <si>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</si>
  <si>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</si>
  <si>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</si>
  <si>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</si>
  <si>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</si>
  <si>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</si>
  <si>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</si>
  <si>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</si>
  <si>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</si>
  <si>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</si>
  <si>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</si>
  <si>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</si>
  <si>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</si>
  <si>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</si>
  <si>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</si>
  <si>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</si>
  <si>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</si>
  <si>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</si>
  <si>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</si>
  <si>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</si>
  <si>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</si>
  <si>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</si>
  <si>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</si>
  <si>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</si>
  <si>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</si>
  <si>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</si>
  <si>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</si>
  <si>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</si>
  <si>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</si>
  <si>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</si>
  <si>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</si>
  <si>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</si>
  <si>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</si>
  <si>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</si>
  <si>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</si>
  <si>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</si>
  <si>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</si>
  <si>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</si>
  <si>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</si>
  <si>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</si>
  <si>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</si>
  <si>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</si>
  <si>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</si>
  <si>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</si>
  <si>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Чуланов Александр Александрович</t>
  </si>
  <si>
    <t>@adolfinii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</si>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</sst>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drawing" Target="../drawings/drawing1.xm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101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109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99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39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13" t="s">
        <v>39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13" t="s">
        <v>39</v>
      </c>
      <c r="K38" s="13" t="s">
        <v>39</v>
      </c>
      <c r="L38" s="13" t="s">
        <v>27</v>
      </c>
      <c r="M38" s="13" t="s">
        <v>27</v>
      </c>
      <c r="N38" s="25" t="s">
        <v>33</v>
      </c>
      <c r="O38" s="25" t="s">
        <v>33</v>
      </c>
      <c r="P38" s="25" t="s">
        <v>33</v>
      </c>
      <c r="Q38" s="25" t="s">
        <v>33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13" t="s">
        <v>39</v>
      </c>
      <c r="N52" s="13"/>
      <c r="O52" s="13"/>
      <c r="P52" s="13" t="s">
        <v>29</v>
      </c>
      <c r="Q52" s="13" t="s">
        <v>31</v>
      </c>
      <c r="R52" s="13"/>
      <c r="S52" s="13"/>
      <c r="T52" s="13"/>
      <c r="U52" s="13"/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13" t="s">
        <v>39</v>
      </c>
      <c r="K55" s="13" t="s">
        <v>27</v>
      </c>
      <c r="L55" s="13" t="s">
        <v>39</v>
      </c>
      <c r="M55" s="13" t="s">
        <v>39</v>
      </c>
      <c r="N55" s="13"/>
      <c r="O55" s="13"/>
      <c r="P55" s="13" t="s">
        <v>40</v>
      </c>
      <c r="Q55" s="13" t="s">
        <v>32</v>
      </c>
      <c r="R55" s="13"/>
      <c r="S55" s="13"/>
      <c r="T55" s="13"/>
      <c r="U55" s="13"/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13" t="s">
        <v>39</v>
      </c>
      <c r="M59" s="13" t="s">
        <v>27</v>
      </c>
      <c r="N59" s="13"/>
      <c r="O59" s="13"/>
      <c r="P59" s="13"/>
      <c r="Q59" s="13"/>
      <c r="R59" s="13"/>
      <c r="S59" s="13"/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13" t="s">
        <v>29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3</v>
      </c>
      <c r="J96" s="13" t="s">
        <v>39</v>
      </c>
      <c r="K96" s="13" t="s">
        <v>28</v>
      </c>
      <c r="L96" s="13" t="s">
        <v>27</v>
      </c>
      <c r="M96" s="13" t="s">
        <v>27</v>
      </c>
      <c r="N96" s="13"/>
      <c r="O96" s="13"/>
      <c r="P96" s="25" t="s">
        <v>33</v>
      </c>
      <c r="Q96" s="25" t="s">
        <v>33</v>
      </c>
      <c r="R96" s="13" t="s">
        <v>40</v>
      </c>
      <c r="S96" s="13" t="s">
        <v>32</v>
      </c>
      <c r="T96" s="13" t="s">
        <v>40</v>
      </c>
      <c r="U96" s="13" t="s">
        <v>32</v>
      </c>
    </row>
    <row r="97">
      <c r="A97" s="13" t="s">
        <v>351</v>
      </c>
      <c r="B97" s="13" t="s">
        <v>352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355</v>
      </c>
      <c r="B99" s="20" t="s">
        <v>356</v>
      </c>
      <c r="C99" s="14">
        <v>8.9105012024E10</v>
      </c>
      <c r="D99" s="13" t="s">
        <v>52</v>
      </c>
      <c r="E99" s="13" t="s">
        <v>357</v>
      </c>
      <c r="F99" s="13" t="s">
        <v>357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358</v>
      </c>
      <c r="B100" s="13" t="s">
        <v>359</v>
      </c>
      <c r="C100" s="14">
        <v>8.9533316231E10</v>
      </c>
      <c r="D100" s="13" t="s">
        <v>23</v>
      </c>
      <c r="E100" s="13" t="s">
        <v>360</v>
      </c>
      <c r="F100" s="13" t="s">
        <v>361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362</v>
      </c>
      <c r="B101" s="13" t="s">
        <v>363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364</v>
      </c>
      <c r="B102" s="13" t="s">
        <v>365</v>
      </c>
      <c r="C102" s="14">
        <v>8.9247047975E10</v>
      </c>
      <c r="D102" s="13" t="s">
        <v>23</v>
      </c>
      <c r="E102" s="13" t="s">
        <v>366</v>
      </c>
      <c r="F102" s="13" t="s">
        <v>367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368</v>
      </c>
      <c r="B103" s="13" t="s">
        <v>369</v>
      </c>
      <c r="C103" s="14">
        <v>8.9176004996E10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372</v>
      </c>
      <c r="B104" s="13" t="s">
        <v>373</v>
      </c>
      <c r="C104" s="14">
        <v>8.9958810686E10</v>
      </c>
      <c r="D104" s="13" t="s">
        <v>23</v>
      </c>
      <c r="E104" s="13" t="s">
        <v>191</v>
      </c>
      <c r="F104" s="13" t="s">
        <v>374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375</v>
      </c>
      <c r="B105" s="20" t="s">
        <v>376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377</v>
      </c>
      <c r="B106" s="20" t="s">
        <v>378</v>
      </c>
      <c r="C106" s="14">
        <v>8.9882503041E10</v>
      </c>
      <c r="D106" s="13" t="s">
        <v>23</v>
      </c>
      <c r="E106" s="13" t="s">
        <v>379</v>
      </c>
      <c r="F106" s="13" t="s">
        <v>380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27</v>
      </c>
      <c r="N106" s="13"/>
      <c r="O106" s="13"/>
      <c r="P106" s="13" t="s">
        <v>29</v>
      </c>
      <c r="Q106" s="13" t="s">
        <v>30</v>
      </c>
      <c r="R106" s="13"/>
      <c r="S106" s="13"/>
      <c r="T106" s="13" t="s">
        <v>31</v>
      </c>
      <c r="U106" s="13" t="s">
        <v>32</v>
      </c>
    </row>
    <row r="107">
      <c r="A107" s="13" t="s">
        <v>381</v>
      </c>
      <c r="B107" s="20" t="s">
        <v>382</v>
      </c>
      <c r="C107" s="14">
        <v>8.9530371763E10</v>
      </c>
      <c r="D107" s="13" t="s">
        <v>23</v>
      </c>
      <c r="E107" s="13" t="s">
        <v>383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384</v>
      </c>
      <c r="B108" s="13" t="s">
        <v>385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386</v>
      </c>
      <c r="B109" s="20" t="s">
        <v>387</v>
      </c>
      <c r="C109" s="14">
        <v>8.9144752213E10</v>
      </c>
      <c r="D109" s="13" t="s">
        <v>23</v>
      </c>
      <c r="E109" s="13" t="s">
        <v>388</v>
      </c>
      <c r="F109" s="13" t="s">
        <v>389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390</v>
      </c>
      <c r="B110" s="20" t="s">
        <v>391</v>
      </c>
      <c r="C110" s="14">
        <v>8.9528012694E10</v>
      </c>
      <c r="D110" s="13" t="s">
        <v>23</v>
      </c>
      <c r="E110" s="13" t="s">
        <v>392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393</v>
      </c>
      <c r="B111" s="20" t="s">
        <v>394</v>
      </c>
      <c r="C111" s="14">
        <v>8.9835458415E10</v>
      </c>
      <c r="D111" s="13" t="s">
        <v>23</v>
      </c>
      <c r="E111" s="13" t="s">
        <v>383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395</v>
      </c>
      <c r="B112" s="20" t="s">
        <v>396</v>
      </c>
      <c r="C112" s="14">
        <v>8.9045573468E10</v>
      </c>
      <c r="D112" s="13" t="s">
        <v>23</v>
      </c>
      <c r="E112" s="13" t="s">
        <v>105</v>
      </c>
      <c r="F112" s="13" t="s">
        <v>397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398</v>
      </c>
      <c r="B113" s="13" t="s">
        <v>399</v>
      </c>
      <c r="C113" s="14">
        <v>8.9656357339E10</v>
      </c>
      <c r="D113" s="13" t="s">
        <v>23</v>
      </c>
      <c r="E113" s="13" t="s">
        <v>400</v>
      </c>
      <c r="F113" s="13" t="s">
        <v>401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402</v>
      </c>
      <c r="B114" s="20" t="s">
        <v>403</v>
      </c>
      <c r="C114" s="14">
        <v>8.9124676438E10</v>
      </c>
      <c r="D114" s="13" t="s">
        <v>23</v>
      </c>
      <c r="E114" s="13" t="s">
        <v>404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405</v>
      </c>
      <c r="B115" s="13" t="s">
        <v>406</v>
      </c>
      <c r="C115" s="14">
        <v>8.9960238005E10</v>
      </c>
      <c r="D115" s="13" t="s">
        <v>52</v>
      </c>
      <c r="E115" s="13" t="s">
        <v>388</v>
      </c>
      <c r="F115" s="13" t="s">
        <v>407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408</v>
      </c>
      <c r="B116" s="13" t="s">
        <v>409</v>
      </c>
      <c r="C116" s="14">
        <v>8.9375458841E10</v>
      </c>
      <c r="D116" s="13" t="s">
        <v>23</v>
      </c>
      <c r="E116" s="13" t="s">
        <v>296</v>
      </c>
      <c r="F116" s="13" t="s">
        <v>410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411</v>
      </c>
      <c r="B117" s="13" t="s">
        <v>412</v>
      </c>
      <c r="C117" s="14">
        <v>8.9670678091E10</v>
      </c>
      <c r="D117" s="13" t="s">
        <v>52</v>
      </c>
      <c r="E117" s="13" t="s">
        <v>77</v>
      </c>
      <c r="F117" s="13" t="s">
        <v>413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414</v>
      </c>
      <c r="B118" s="13" t="s">
        <v>415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416</v>
      </c>
      <c r="B119" s="13" t="s">
        <v>417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418</v>
      </c>
      <c r="B120" s="20" t="s">
        <v>419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420</v>
      </c>
      <c r="B121" s="13" t="s">
        <v>421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422</v>
      </c>
      <c r="B122" s="20" t="s">
        <v>423</v>
      </c>
      <c r="C122" s="14">
        <v>8.9171791637E10</v>
      </c>
      <c r="D122" s="13" t="s">
        <v>23</v>
      </c>
      <c r="E122" s="13" t="s">
        <v>424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425</v>
      </c>
      <c r="B123" s="13" t="s">
        <v>426</v>
      </c>
      <c r="C123" s="14">
        <v>8.9196070227E10</v>
      </c>
      <c r="D123" s="13" t="s">
        <v>23</v>
      </c>
      <c r="E123" s="13" t="s">
        <v>131</v>
      </c>
      <c r="F123" s="13" t="s">
        <v>427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428</v>
      </c>
      <c r="B124" s="20" t="s">
        <v>429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8.9233503408E10</v>
      </c>
      <c r="D125" s="13" t="s">
        <v>23</v>
      </c>
      <c r="E125" s="13" t="s">
        <v>432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433</v>
      </c>
      <c r="B126" s="13" t="s">
        <v>434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13" t="s">
        <v>39</v>
      </c>
      <c r="N126" s="13"/>
      <c r="O126" s="13"/>
      <c r="P126" s="13" t="s">
        <v>31</v>
      </c>
      <c r="Q126" s="13" t="s">
        <v>32</v>
      </c>
      <c r="R126" s="13"/>
      <c r="S126" s="13"/>
      <c r="T126" s="13"/>
      <c r="U126" s="13"/>
    </row>
    <row r="127">
      <c r="A127" s="13" t="s">
        <v>435</v>
      </c>
      <c r="B127" s="18" t="s">
        <v>436</v>
      </c>
      <c r="C127" s="14">
        <v>8.9967686968E10</v>
      </c>
      <c r="D127" s="13" t="s">
        <v>23</v>
      </c>
      <c r="E127" s="13" t="s">
        <v>437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438</v>
      </c>
      <c r="B128" s="13" t="s">
        <v>439</v>
      </c>
      <c r="C128" s="14">
        <v>8.9061968689E10</v>
      </c>
      <c r="D128" s="13" t="s">
        <v>23</v>
      </c>
      <c r="E128" s="13" t="s">
        <v>272</v>
      </c>
      <c r="F128" s="13" t="s">
        <v>440</v>
      </c>
      <c r="G128" s="13" t="s">
        <v>26</v>
      </c>
      <c r="H128" s="14">
        <v>29.0</v>
      </c>
      <c r="I128" s="14">
        <f t="shared" ref="I128:I207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441</v>
      </c>
      <c r="B129" s="20" t="s">
        <v>442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443</v>
      </c>
      <c r="B130" s="13" t="s">
        <v>444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445</v>
      </c>
      <c r="B131" s="13" t="s">
        <v>446</v>
      </c>
      <c r="C131" s="14">
        <v>8.9009053337E10</v>
      </c>
      <c r="D131" s="13" t="s">
        <v>23</v>
      </c>
      <c r="E131" s="13" t="s">
        <v>447</v>
      </c>
      <c r="F131" s="13" t="s">
        <v>448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449</v>
      </c>
      <c r="B132" s="20" t="s">
        <v>450</v>
      </c>
      <c r="C132" s="14">
        <v>8.9043817591E10</v>
      </c>
      <c r="D132" s="13" t="s">
        <v>23</v>
      </c>
      <c r="E132" s="13" t="s">
        <v>451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452</v>
      </c>
      <c r="B133" s="13" t="s">
        <v>453</v>
      </c>
      <c r="C133" s="14">
        <v>8.9969233065E10</v>
      </c>
      <c r="D133" s="13" t="s">
        <v>23</v>
      </c>
      <c r="E133" s="13" t="s">
        <v>36</v>
      </c>
      <c r="F133" s="13" t="s">
        <v>454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455</v>
      </c>
      <c r="B134" s="20" t="s">
        <v>456</v>
      </c>
      <c r="C134" s="14">
        <v>8.914152599E10</v>
      </c>
      <c r="D134" s="13" t="s">
        <v>23</v>
      </c>
      <c r="E134" s="13" t="s">
        <v>457</v>
      </c>
      <c r="F134" s="13" t="s">
        <v>458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459</v>
      </c>
      <c r="B135" s="13" t="s">
        <v>460</v>
      </c>
      <c r="C135" s="14">
        <v>8.902783375E10</v>
      </c>
      <c r="D135" s="13" t="s">
        <v>23</v>
      </c>
      <c r="E135" s="13" t="s">
        <v>341</v>
      </c>
      <c r="F135" s="13" t="s">
        <v>461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462</v>
      </c>
      <c r="B136" s="13" t="s">
        <v>463</v>
      </c>
      <c r="C136" s="14">
        <v>8.9536775789E10</v>
      </c>
      <c r="D136" s="13" t="s">
        <v>23</v>
      </c>
      <c r="E136" s="13" t="s">
        <v>464</v>
      </c>
      <c r="F136" s="13" t="s">
        <v>465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466</v>
      </c>
      <c r="B137" s="13" t="s">
        <v>467</v>
      </c>
      <c r="C137" s="14">
        <v>8.9155929465E10</v>
      </c>
      <c r="D137" s="13" t="s">
        <v>23</v>
      </c>
      <c r="E137" s="13" t="s">
        <v>468</v>
      </c>
      <c r="F137" s="13" t="s">
        <v>357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469</v>
      </c>
      <c r="B138" s="13" t="s">
        <v>470</v>
      </c>
      <c r="C138" s="14">
        <v>8.9278729101E10</v>
      </c>
      <c r="D138" s="13" t="s">
        <v>23</v>
      </c>
      <c r="E138" s="13" t="s">
        <v>471</v>
      </c>
      <c r="F138" s="13" t="s">
        <v>472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473</v>
      </c>
      <c r="B139" s="13" t="s">
        <v>474</v>
      </c>
      <c r="C139" s="14">
        <v>8.9640046593E10</v>
      </c>
      <c r="D139" s="13" t="s">
        <v>23</v>
      </c>
      <c r="E139" s="13" t="s">
        <v>475</v>
      </c>
      <c r="F139" s="13" t="s">
        <v>476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477</v>
      </c>
      <c r="B140" s="13" t="s">
        <v>478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479</v>
      </c>
      <c r="B141" s="13" t="s">
        <v>480</v>
      </c>
      <c r="C141" s="14">
        <v>8.9281190239E10</v>
      </c>
      <c r="D141" s="13" t="s">
        <v>23</v>
      </c>
      <c r="E141" s="13" t="s">
        <v>481</v>
      </c>
      <c r="F141" s="13" t="s">
        <v>482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32</v>
      </c>
      <c r="T141" s="13" t="s">
        <v>29</v>
      </c>
      <c r="U141" s="13" t="s">
        <v>30</v>
      </c>
    </row>
    <row r="142">
      <c r="A142" s="13" t="s">
        <v>483</v>
      </c>
      <c r="B142" s="13" t="s">
        <v>484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485</v>
      </c>
      <c r="B143" s="13" t="s">
        <v>486</v>
      </c>
      <c r="C143" s="14">
        <v>8.9786742029E10</v>
      </c>
      <c r="D143" s="13" t="s">
        <v>52</v>
      </c>
      <c r="E143" s="13" t="s">
        <v>487</v>
      </c>
      <c r="F143" s="13" t="s">
        <v>488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489</v>
      </c>
      <c r="B144" s="20" t="s">
        <v>490</v>
      </c>
      <c r="C144" s="14">
        <v>8.900606158E10</v>
      </c>
      <c r="D144" s="13" t="s">
        <v>23</v>
      </c>
      <c r="E144" s="13" t="s">
        <v>357</v>
      </c>
      <c r="F144" s="13" t="s">
        <v>357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491</v>
      </c>
      <c r="B145" s="20" t="s">
        <v>492</v>
      </c>
      <c r="C145" s="14">
        <v>8.9504479502E10</v>
      </c>
      <c r="D145" s="13" t="s">
        <v>52</v>
      </c>
      <c r="E145" s="13" t="s">
        <v>493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494</v>
      </c>
      <c r="B146" s="20" t="s">
        <v>495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496</v>
      </c>
      <c r="B147" s="13" t="s">
        <v>497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498</v>
      </c>
      <c r="B148" s="13" t="s">
        <v>499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500</v>
      </c>
      <c r="B149" s="20" t="s">
        <v>501</v>
      </c>
      <c r="C149" s="14">
        <v>8.9254200879E10</v>
      </c>
      <c r="D149" s="13" t="s">
        <v>52</v>
      </c>
      <c r="E149" s="13" t="s">
        <v>502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503</v>
      </c>
      <c r="B150" s="20" t="s">
        <v>504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505</v>
      </c>
      <c r="B151" s="20" t="s">
        <v>506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39</v>
      </c>
      <c r="N151" s="13"/>
      <c r="O151" s="13"/>
      <c r="P151" s="13" t="s">
        <v>29</v>
      </c>
      <c r="Q151" s="13" t="s">
        <v>31</v>
      </c>
      <c r="R151" s="13"/>
      <c r="S151" s="13"/>
      <c r="T151" s="13"/>
      <c r="U151" s="13"/>
    </row>
    <row r="152">
      <c r="A152" s="13" t="s">
        <v>507</v>
      </c>
      <c r="B152" s="13" t="s">
        <v>508</v>
      </c>
      <c r="C152" s="14">
        <v>8.9370280509E10</v>
      </c>
      <c r="D152" s="13" t="s">
        <v>23</v>
      </c>
      <c r="E152" s="13" t="s">
        <v>198</v>
      </c>
      <c r="F152" s="13" t="s">
        <v>509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510</v>
      </c>
      <c r="B153" s="20" t="s">
        <v>511</v>
      </c>
      <c r="C153" s="14">
        <v>8.9082514848E10</v>
      </c>
      <c r="D153" s="13" t="s">
        <v>23</v>
      </c>
      <c r="E153" s="13" t="s">
        <v>493</v>
      </c>
      <c r="F153" s="13" t="s">
        <v>512</v>
      </c>
      <c r="G153" s="13" t="s">
        <v>38</v>
      </c>
      <c r="H153" s="14">
        <v>31.0</v>
      </c>
      <c r="I153" s="14">
        <f t="shared" si="5"/>
        <v>3</v>
      </c>
      <c r="J153" s="13" t="s">
        <v>48</v>
      </c>
      <c r="K153" s="13" t="s">
        <v>27</v>
      </c>
      <c r="L153" s="13" t="s">
        <v>39</v>
      </c>
      <c r="M153" s="13" t="s">
        <v>27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13" t="s">
        <v>29</v>
      </c>
      <c r="U153" s="13" t="s">
        <v>30</v>
      </c>
    </row>
    <row r="154">
      <c r="A154" s="13" t="s">
        <v>513</v>
      </c>
      <c r="B154" s="13" t="s">
        <v>514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515</v>
      </c>
      <c r="B155" s="13" t="s">
        <v>516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517</v>
      </c>
      <c r="B156" s="13" t="s">
        <v>518</v>
      </c>
      <c r="C156" s="14">
        <v>8.9530897291E10</v>
      </c>
      <c r="D156" s="13" t="s">
        <v>52</v>
      </c>
      <c r="E156" s="13" t="s">
        <v>519</v>
      </c>
      <c r="F156" s="13" t="s">
        <v>520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521</v>
      </c>
      <c r="B157" s="13" t="s">
        <v>522</v>
      </c>
      <c r="C157" s="14">
        <v>8.9057841817E10</v>
      </c>
      <c r="D157" s="13" t="s">
        <v>23</v>
      </c>
      <c r="E157" s="13" t="s">
        <v>77</v>
      </c>
      <c r="F157" s="13" t="s">
        <v>523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524</v>
      </c>
      <c r="B158" s="13" t="s">
        <v>525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526</v>
      </c>
      <c r="B159" s="20" t="s">
        <v>527</v>
      </c>
      <c r="C159" s="14">
        <v>8.9122122008E10</v>
      </c>
      <c r="D159" s="13" t="s">
        <v>23</v>
      </c>
      <c r="E159" s="13" t="s">
        <v>451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528</v>
      </c>
      <c r="B160" s="20" t="s">
        <v>529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530</v>
      </c>
      <c r="B161" s="13" t="s">
        <v>531</v>
      </c>
      <c r="C161" s="14">
        <v>8.9872341275E10</v>
      </c>
      <c r="D161" s="13" t="s">
        <v>23</v>
      </c>
      <c r="E161" s="13" t="s">
        <v>96</v>
      </c>
      <c r="F161" s="13" t="s">
        <v>532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533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534</v>
      </c>
      <c r="B163" s="20" t="s">
        <v>535</v>
      </c>
      <c r="C163" s="14">
        <v>8.9022506257E10</v>
      </c>
      <c r="D163" s="13" t="s">
        <v>23</v>
      </c>
      <c r="E163" s="13" t="s">
        <v>536</v>
      </c>
      <c r="F163" s="13" t="s">
        <v>537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538</v>
      </c>
      <c r="B164" s="13" t="s">
        <v>539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540</v>
      </c>
      <c r="B165" s="13" t="s">
        <v>541</v>
      </c>
      <c r="C165" s="14">
        <v>8.9245122895E10</v>
      </c>
      <c r="D165" s="13" t="s">
        <v>52</v>
      </c>
      <c r="E165" s="13" t="s">
        <v>542</v>
      </c>
      <c r="F165" s="13" t="s">
        <v>543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544</v>
      </c>
      <c r="B166" s="13" t="s">
        <v>545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546</v>
      </c>
      <c r="B167" s="13" t="s">
        <v>547</v>
      </c>
      <c r="C167" s="14">
        <v>8.9237183977E10</v>
      </c>
      <c r="D167" s="13" t="s">
        <v>23</v>
      </c>
      <c r="E167" s="13" t="s">
        <v>272</v>
      </c>
      <c r="F167" s="13" t="s">
        <v>548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549</v>
      </c>
      <c r="B168" s="20" t="s">
        <v>550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551</v>
      </c>
      <c r="B169" s="20" t="s">
        <v>552</v>
      </c>
      <c r="C169" s="14">
        <v>8.9021258174E10</v>
      </c>
      <c r="D169" s="13" t="s">
        <v>23</v>
      </c>
      <c r="E169" s="13" t="s">
        <v>553</v>
      </c>
      <c r="F169" s="13" t="s">
        <v>371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554</v>
      </c>
      <c r="B170" s="13" t="s">
        <v>555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556</v>
      </c>
      <c r="B171" s="20" t="s">
        <v>557</v>
      </c>
      <c r="C171" s="14">
        <v>8.9148921589E10</v>
      </c>
      <c r="D171" s="13" t="s">
        <v>23</v>
      </c>
      <c r="E171" s="13" t="s">
        <v>558</v>
      </c>
      <c r="F171" s="13" t="s">
        <v>559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560</v>
      </c>
      <c r="B172" s="13" t="s">
        <v>561</v>
      </c>
      <c r="C172" s="14">
        <v>8.9616215222E10</v>
      </c>
      <c r="D172" s="13" t="s">
        <v>23</v>
      </c>
      <c r="E172" s="13" t="s">
        <v>227</v>
      </c>
      <c r="F172" s="13" t="s">
        <v>562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563</v>
      </c>
      <c r="B173" s="13" t="s">
        <v>564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565</v>
      </c>
      <c r="B174" s="13" t="s">
        <v>566</v>
      </c>
      <c r="C174" s="14">
        <v>8.9194938539E10</v>
      </c>
      <c r="D174" s="13" t="s">
        <v>23</v>
      </c>
      <c r="E174" s="13" t="s">
        <v>493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567</v>
      </c>
      <c r="B175" s="13" t="s">
        <v>568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569</v>
      </c>
      <c r="B176" s="13" t="s">
        <v>570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571</v>
      </c>
      <c r="B177" s="13" t="s">
        <v>572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573</v>
      </c>
      <c r="B178" s="13" t="s">
        <v>574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575</v>
      </c>
      <c r="B179" s="13" t="s">
        <v>576</v>
      </c>
      <c r="C179" s="14">
        <v>8.964892566E10</v>
      </c>
      <c r="D179" s="13" t="s">
        <v>23</v>
      </c>
      <c r="E179" s="13" t="s">
        <v>519</v>
      </c>
      <c r="F179" s="13" t="s">
        <v>577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578</v>
      </c>
      <c r="B180" s="13" t="s">
        <v>579</v>
      </c>
      <c r="C180" s="14">
        <v>8.9780181832E10</v>
      </c>
      <c r="D180" s="13" t="s">
        <v>23</v>
      </c>
      <c r="E180" s="13" t="s">
        <v>292</v>
      </c>
      <c r="F180" s="13" t="s">
        <v>580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581</v>
      </c>
      <c r="B181" s="13" t="s">
        <v>582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583</v>
      </c>
      <c r="B182" s="20" t="s">
        <v>584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39</v>
      </c>
      <c r="M182" s="13" t="s">
        <v>39</v>
      </c>
      <c r="N182" s="13"/>
      <c r="O182" s="13"/>
      <c r="P182" s="13" t="s">
        <v>40</v>
      </c>
      <c r="Q182" s="13" t="s">
        <v>32</v>
      </c>
      <c r="R182" s="13"/>
      <c r="S182" s="13"/>
      <c r="T182" s="13"/>
      <c r="U182" s="13"/>
    </row>
    <row r="183">
      <c r="A183" s="13" t="s">
        <v>585</v>
      </c>
      <c r="B183" s="20" t="s">
        <v>586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587</v>
      </c>
      <c r="B184" s="13" t="s">
        <v>588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589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39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/>
      <c r="U187" s="13"/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13" t="s">
        <v>32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32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8.9163947948E10</v>
      </c>
      <c r="D192" s="13" t="s">
        <v>23</v>
      </c>
      <c r="E192" s="13" t="s">
        <v>76</v>
      </c>
      <c r="F192" s="13" t="s">
        <v>76</v>
      </c>
      <c r="G192" s="13" t="s">
        <v>38</v>
      </c>
      <c r="H192" s="14">
        <v>42.0</v>
      </c>
      <c r="I192" s="14">
        <f t="shared" si="5"/>
        <v>4</v>
      </c>
      <c r="J192" s="13" t="s">
        <v>27</v>
      </c>
      <c r="K192" s="13" t="s">
        <v>27</v>
      </c>
      <c r="L192" s="13" t="s">
        <v>39</v>
      </c>
      <c r="M192" s="13" t="s">
        <v>39</v>
      </c>
      <c r="N192" s="13" t="s">
        <v>29</v>
      </c>
      <c r="O192" s="13" t="s">
        <v>30</v>
      </c>
      <c r="P192" s="13"/>
      <c r="Q192" s="13"/>
      <c r="R192" s="13"/>
      <c r="S192" s="13"/>
      <c r="T192" s="13"/>
      <c r="U192" s="13"/>
    </row>
    <row r="193">
      <c r="A193" s="13" t="s">
        <v>609</v>
      </c>
      <c r="B193" s="13" t="s">
        <v>610</v>
      </c>
      <c r="C193" s="14">
        <v>8.9835221226E10</v>
      </c>
      <c r="D193" s="13" t="s">
        <v>23</v>
      </c>
      <c r="E193" s="13" t="s">
        <v>611</v>
      </c>
      <c r="F193" s="13" t="s">
        <v>612</v>
      </c>
      <c r="G193" s="13" t="s">
        <v>38</v>
      </c>
      <c r="H193" s="14">
        <v>22.0</v>
      </c>
      <c r="I193" s="14">
        <f t="shared" si="5"/>
        <v>4</v>
      </c>
      <c r="J193" s="13" t="s">
        <v>39</v>
      </c>
      <c r="K193" s="13" t="s">
        <v>27</v>
      </c>
      <c r="L193" s="13" t="s">
        <v>39</v>
      </c>
      <c r="M193" s="13" t="s">
        <v>27</v>
      </c>
      <c r="N193" s="13"/>
      <c r="O193" s="13"/>
      <c r="P193" s="13" t="s">
        <v>29</v>
      </c>
      <c r="Q193" s="13" t="s">
        <v>30</v>
      </c>
      <c r="R193" s="13"/>
      <c r="S193" s="13"/>
      <c r="T193" s="13" t="s">
        <v>31</v>
      </c>
      <c r="U193" s="13" t="s">
        <v>32</v>
      </c>
    </row>
    <row r="194">
      <c r="A194" s="13" t="s">
        <v>613</v>
      </c>
      <c r="B194" s="20" t="s">
        <v>614</v>
      </c>
      <c r="C194" s="14">
        <v>8.9913273527E10</v>
      </c>
      <c r="D194" s="13" t="s">
        <v>23</v>
      </c>
      <c r="E194" s="13" t="s">
        <v>120</v>
      </c>
      <c r="F194" s="13" t="s">
        <v>121</v>
      </c>
      <c r="G194" s="13" t="s">
        <v>26</v>
      </c>
      <c r="H194" s="14">
        <v>32.0</v>
      </c>
      <c r="I194" s="14">
        <f t="shared" si="5"/>
        <v>4</v>
      </c>
      <c r="J194" s="13" t="s">
        <v>27</v>
      </c>
      <c r="K194" s="13" t="s">
        <v>27</v>
      </c>
      <c r="L194" s="13" t="s">
        <v>27</v>
      </c>
      <c r="M194" s="13" t="s">
        <v>27</v>
      </c>
      <c r="N194" s="13" t="s">
        <v>40</v>
      </c>
      <c r="O194" s="13" t="s">
        <v>32</v>
      </c>
      <c r="P194" s="13"/>
      <c r="Q194" s="13"/>
      <c r="R194" s="13" t="s">
        <v>40</v>
      </c>
      <c r="S194" s="13" t="s">
        <v>32</v>
      </c>
      <c r="T194" s="13" t="s">
        <v>29</v>
      </c>
      <c r="U194" s="13" t="s">
        <v>30</v>
      </c>
    </row>
    <row r="195">
      <c r="A195" s="13" t="s">
        <v>615</v>
      </c>
      <c r="B195" s="13" t="s">
        <v>616</v>
      </c>
      <c r="C195" s="14">
        <v>8.9022772153E10</v>
      </c>
      <c r="D195" s="13" t="s">
        <v>23</v>
      </c>
      <c r="E195" s="13" t="s">
        <v>127</v>
      </c>
      <c r="F195" s="13" t="s">
        <v>128</v>
      </c>
      <c r="G195" s="13" t="s">
        <v>26</v>
      </c>
      <c r="H195" s="14">
        <v>52.0</v>
      </c>
      <c r="I195" s="14">
        <f t="shared" si="5"/>
        <v>2</v>
      </c>
      <c r="J195" s="13" t="s">
        <v>27</v>
      </c>
      <c r="K195" s="13" t="s">
        <v>28</v>
      </c>
      <c r="L195" s="13" t="s">
        <v>28</v>
      </c>
      <c r="M195" s="13" t="s">
        <v>27</v>
      </c>
      <c r="N195" s="13" t="s">
        <v>29</v>
      </c>
      <c r="O195" s="13" t="s">
        <v>30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40</v>
      </c>
      <c r="U195" s="13" t="s">
        <v>32</v>
      </c>
    </row>
    <row r="196">
      <c r="A196" s="13" t="s">
        <v>617</v>
      </c>
      <c r="B196" s="13" t="s">
        <v>618</v>
      </c>
      <c r="C196" s="14">
        <v>8.9174249921E10</v>
      </c>
      <c r="D196" s="13" t="s">
        <v>23</v>
      </c>
      <c r="E196" s="13" t="s">
        <v>109</v>
      </c>
      <c r="F196" s="13" t="s">
        <v>619</v>
      </c>
      <c r="G196" s="13" t="s">
        <v>26</v>
      </c>
      <c r="H196" s="14">
        <v>41.0</v>
      </c>
      <c r="I196" s="14">
        <f t="shared" si="5"/>
        <v>2</v>
      </c>
      <c r="J196" s="13" t="s">
        <v>27</v>
      </c>
      <c r="K196" s="13" t="s">
        <v>48</v>
      </c>
      <c r="L196" s="13" t="s">
        <v>48</v>
      </c>
      <c r="M196" s="13" t="s">
        <v>39</v>
      </c>
      <c r="N196" s="13" t="s">
        <v>29</v>
      </c>
      <c r="O196" s="13" t="s">
        <v>31</v>
      </c>
      <c r="P196" s="25" t="s">
        <v>33</v>
      </c>
      <c r="Q196" s="25" t="s">
        <v>33</v>
      </c>
      <c r="R196" s="25" t="s">
        <v>33</v>
      </c>
      <c r="S196" s="25" t="s">
        <v>33</v>
      </c>
      <c r="T196" s="13"/>
      <c r="U196" s="13"/>
    </row>
    <row r="197">
      <c r="A197" s="13" t="s">
        <v>620</v>
      </c>
      <c r="B197" s="20" t="s">
        <v>621</v>
      </c>
      <c r="C197" s="14">
        <v>8.9374741119E10</v>
      </c>
      <c r="D197" s="13" t="s">
        <v>23</v>
      </c>
      <c r="E197" s="13" t="s">
        <v>53</v>
      </c>
      <c r="F197" s="13" t="s">
        <v>54</v>
      </c>
      <c r="G197" s="13" t="s">
        <v>38</v>
      </c>
      <c r="H197" s="14">
        <v>25.0</v>
      </c>
      <c r="I197" s="14">
        <f t="shared" si="5"/>
        <v>4</v>
      </c>
      <c r="J197" s="13" t="s">
        <v>27</v>
      </c>
      <c r="K197" s="13" t="s">
        <v>27</v>
      </c>
      <c r="L197" s="13" t="s">
        <v>27</v>
      </c>
      <c r="M197" s="13" t="s">
        <v>27</v>
      </c>
      <c r="N197" s="13" t="s">
        <v>29</v>
      </c>
      <c r="O197" s="13" t="s">
        <v>31</v>
      </c>
      <c r="P197" s="13" t="s">
        <v>40</v>
      </c>
      <c r="Q197" s="13" t="s">
        <v>32</v>
      </c>
      <c r="R197" s="13" t="s">
        <v>40</v>
      </c>
      <c r="S197" s="13" t="s">
        <v>32</v>
      </c>
      <c r="T197" s="13" t="s">
        <v>29</v>
      </c>
      <c r="U197" s="13" t="s">
        <v>30</v>
      </c>
    </row>
    <row r="198">
      <c r="A198" s="13" t="s">
        <v>622</v>
      </c>
      <c r="B198" s="13" t="s">
        <v>623</v>
      </c>
      <c r="C198" s="14">
        <v>8.9304070991E10</v>
      </c>
      <c r="D198" s="13" t="s">
        <v>23</v>
      </c>
      <c r="E198" s="13" t="s">
        <v>120</v>
      </c>
      <c r="F198" s="13" t="s">
        <v>121</v>
      </c>
      <c r="G198" s="13" t="s">
        <v>26</v>
      </c>
      <c r="H198" s="14">
        <v>55.0</v>
      </c>
      <c r="I198" s="14">
        <f t="shared" si="5"/>
        <v>2</v>
      </c>
      <c r="J198" s="13" t="s">
        <v>27</v>
      </c>
      <c r="K198" s="13" t="s">
        <v>39</v>
      </c>
      <c r="L198" s="13" t="s">
        <v>28</v>
      </c>
      <c r="M198" s="13" t="s">
        <v>28</v>
      </c>
      <c r="N198" s="13" t="s">
        <v>40</v>
      </c>
      <c r="O198" s="13" t="s">
        <v>32</v>
      </c>
      <c r="P198" s="13"/>
      <c r="Q198" s="13"/>
      <c r="R198" s="25" t="s">
        <v>33</v>
      </c>
      <c r="S198" s="25" t="s">
        <v>33</v>
      </c>
      <c r="T198" s="25" t="s">
        <v>33</v>
      </c>
      <c r="U198" s="25" t="s">
        <v>33</v>
      </c>
    </row>
    <row r="199">
      <c r="A199" s="13" t="s">
        <v>624</v>
      </c>
      <c r="B199" s="13" t="s">
        <v>625</v>
      </c>
      <c r="C199" s="14">
        <v>8.90424781E10</v>
      </c>
      <c r="D199" s="13" t="s">
        <v>52</v>
      </c>
      <c r="E199" s="13" t="s">
        <v>626</v>
      </c>
      <c r="F199" s="13" t="s">
        <v>627</v>
      </c>
      <c r="G199" s="13" t="s">
        <v>38</v>
      </c>
      <c r="H199" s="14">
        <v>44.0</v>
      </c>
      <c r="I199" s="14">
        <f t="shared" si="5"/>
        <v>4</v>
      </c>
      <c r="J199" s="13" t="s">
        <v>39</v>
      </c>
      <c r="K199" s="13" t="s">
        <v>27</v>
      </c>
      <c r="L199" s="28" t="s">
        <v>27</v>
      </c>
      <c r="M199" s="13" t="s">
        <v>39</v>
      </c>
      <c r="N199" s="13"/>
      <c r="O199" s="13"/>
      <c r="P199" s="13" t="s">
        <v>40</v>
      </c>
      <c r="Q199" s="13" t="s">
        <v>32</v>
      </c>
      <c r="R199" s="13" t="s">
        <v>31</v>
      </c>
      <c r="S199" s="13" t="s">
        <v>32</v>
      </c>
      <c r="T199" s="13"/>
      <c r="U199" s="13"/>
    </row>
    <row r="200">
      <c r="A200" s="13" t="s">
        <v>628</v>
      </c>
      <c r="B200" s="18" t="s">
        <v>629</v>
      </c>
      <c r="C200" s="14">
        <v>8.9064006239E10</v>
      </c>
      <c r="D200" s="13" t="s">
        <v>23</v>
      </c>
      <c r="E200" s="13" t="s">
        <v>183</v>
      </c>
      <c r="F200" s="13" t="s">
        <v>184</v>
      </c>
      <c r="G200" s="13" t="s">
        <v>38</v>
      </c>
      <c r="H200" s="14">
        <v>40.0</v>
      </c>
      <c r="I200" s="14">
        <f t="shared" si="5"/>
        <v>2</v>
      </c>
      <c r="J200" s="13" t="s">
        <v>39</v>
      </c>
      <c r="K200" s="13" t="s">
        <v>27</v>
      </c>
      <c r="L200" s="13" t="s">
        <v>48</v>
      </c>
      <c r="M200" s="13" t="s">
        <v>48</v>
      </c>
      <c r="N200" s="13"/>
      <c r="O200" s="13"/>
      <c r="P200" s="13" t="s">
        <v>31</v>
      </c>
      <c r="Q200" s="13" t="s">
        <v>32</v>
      </c>
      <c r="R200" s="25" t="s">
        <v>33</v>
      </c>
      <c r="S200" s="25" t="s">
        <v>33</v>
      </c>
      <c r="T200" s="13"/>
      <c r="U200" s="13"/>
    </row>
    <row r="201">
      <c r="A201" s="13" t="s">
        <v>630</v>
      </c>
      <c r="B201" s="20" t="s">
        <v>631</v>
      </c>
      <c r="C201" s="14">
        <v>8.9081727263E10</v>
      </c>
      <c r="D201" s="13" t="s">
        <v>23</v>
      </c>
      <c r="E201" s="13" t="s">
        <v>379</v>
      </c>
      <c r="F201" s="13" t="s">
        <v>632</v>
      </c>
      <c r="G201" s="13" t="s">
        <v>26</v>
      </c>
      <c r="H201" s="14">
        <v>34.0</v>
      </c>
      <c r="I201" s="14">
        <f t="shared" si="5"/>
        <v>4</v>
      </c>
      <c r="J201" s="13" t="s">
        <v>39</v>
      </c>
      <c r="K201" s="13" t="s">
        <v>39</v>
      </c>
      <c r="L201" s="13" t="s">
        <v>39</v>
      </c>
      <c r="M201" s="13" t="s">
        <v>27</v>
      </c>
      <c r="N201" s="13"/>
      <c r="O201" s="13"/>
      <c r="P201" s="13"/>
      <c r="Q201" s="13"/>
      <c r="R201" s="13"/>
      <c r="S201" s="13"/>
      <c r="T201" s="13" t="s">
        <v>31</v>
      </c>
      <c r="U201" s="13" t="s">
        <v>32</v>
      </c>
    </row>
    <row r="202">
      <c r="A202" s="13" t="s">
        <v>633</v>
      </c>
      <c r="B202" s="13" t="s">
        <v>634</v>
      </c>
      <c r="C202" s="14">
        <v>8.9167787739E10</v>
      </c>
      <c r="D202" s="13" t="s">
        <v>23</v>
      </c>
      <c r="E202" s="13" t="s">
        <v>77</v>
      </c>
      <c r="F202" s="13" t="s">
        <v>77</v>
      </c>
      <c r="G202" s="13" t="s">
        <v>38</v>
      </c>
      <c r="H202" s="14">
        <v>42.0</v>
      </c>
      <c r="I202" s="14">
        <f t="shared" si="5"/>
        <v>2</v>
      </c>
      <c r="J202" s="13" t="s">
        <v>39</v>
      </c>
      <c r="K202" s="13" t="s">
        <v>27</v>
      </c>
      <c r="L202" s="13" t="s">
        <v>48</v>
      </c>
      <c r="M202" s="13" t="s">
        <v>48</v>
      </c>
      <c r="N202" s="13"/>
      <c r="O202" s="13"/>
      <c r="P202" s="13" t="s">
        <v>29</v>
      </c>
      <c r="Q202" s="13" t="s">
        <v>30</v>
      </c>
      <c r="R202" s="25" t="s">
        <v>33</v>
      </c>
      <c r="S202" s="25" t="s">
        <v>33</v>
      </c>
      <c r="T202" s="25" t="s">
        <v>33</v>
      </c>
      <c r="U202" s="25" t="s">
        <v>33</v>
      </c>
    </row>
    <row r="203">
      <c r="A203" s="13" t="s">
        <v>635</v>
      </c>
      <c r="B203" s="13" t="s">
        <v>636</v>
      </c>
      <c r="C203" s="14">
        <v>8.9168048734E10</v>
      </c>
      <c r="D203" s="13" t="s">
        <v>23</v>
      </c>
      <c r="E203" s="13" t="s">
        <v>36</v>
      </c>
      <c r="F203" s="13" t="s">
        <v>637</v>
      </c>
      <c r="G203" s="13" t="s">
        <v>26</v>
      </c>
      <c r="H203" s="14">
        <v>35.0</v>
      </c>
      <c r="I203" s="14">
        <f t="shared" si="5"/>
        <v>2</v>
      </c>
      <c r="J203" s="13" t="s">
        <v>48</v>
      </c>
      <c r="K203" s="13" t="s">
        <v>27</v>
      </c>
      <c r="L203" s="13" t="s">
        <v>39</v>
      </c>
      <c r="M203" s="13" t="s">
        <v>48</v>
      </c>
      <c r="N203" s="13"/>
      <c r="O203" s="13"/>
      <c r="P203" s="13" t="s">
        <v>31</v>
      </c>
      <c r="Q203" s="13" t="s">
        <v>32</v>
      </c>
      <c r="R203" s="13"/>
      <c r="S203" s="13"/>
      <c r="T203" s="13"/>
      <c r="U203" s="13"/>
    </row>
    <row r="204">
      <c r="A204" s="13" t="s">
        <v>638</v>
      </c>
      <c r="B204" s="20" t="s">
        <v>639</v>
      </c>
      <c r="C204" s="14">
        <v>8.9119960778E10</v>
      </c>
      <c r="D204" s="13" t="s">
        <v>23</v>
      </c>
      <c r="E204" s="13" t="s">
        <v>143</v>
      </c>
      <c r="F204" s="13" t="s">
        <v>143</v>
      </c>
      <c r="G204" s="13" t="s">
        <v>26</v>
      </c>
      <c r="H204" s="14">
        <v>50.0</v>
      </c>
      <c r="I204" s="14">
        <f t="shared" si="5"/>
        <v>3</v>
      </c>
      <c r="J204" s="13" t="s">
        <v>39</v>
      </c>
      <c r="K204" s="13" t="s">
        <v>27</v>
      </c>
      <c r="L204" s="13" t="s">
        <v>48</v>
      </c>
      <c r="M204" s="13" t="s">
        <v>39</v>
      </c>
      <c r="N204" s="13"/>
      <c r="O204" s="13"/>
      <c r="P204" s="13" t="s">
        <v>40</v>
      </c>
      <c r="Q204" s="13" t="s">
        <v>32</v>
      </c>
      <c r="R204" s="13"/>
      <c r="S204" s="13"/>
      <c r="T204" s="13"/>
      <c r="U204" s="13"/>
    </row>
    <row r="205">
      <c r="A205" s="13" t="s">
        <v>640</v>
      </c>
      <c r="B205" s="20" t="s">
        <v>641</v>
      </c>
      <c r="C205" s="14">
        <v>8.9244436996E10</v>
      </c>
      <c r="D205" s="13" t="s">
        <v>23</v>
      </c>
      <c r="E205" s="13" t="s">
        <v>642</v>
      </c>
      <c r="F205" s="13" t="s">
        <v>643</v>
      </c>
      <c r="G205" s="13" t="s">
        <v>26</v>
      </c>
      <c r="H205" s="14">
        <v>18.0</v>
      </c>
      <c r="I205" s="14">
        <f t="shared" si="5"/>
        <v>3</v>
      </c>
      <c r="J205" s="13" t="s">
        <v>39</v>
      </c>
      <c r="K205" s="13" t="s">
        <v>27</v>
      </c>
      <c r="L205" s="13" t="s">
        <v>39</v>
      </c>
      <c r="M205" s="13" t="s">
        <v>48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8.9273039771E10</v>
      </c>
      <c r="D206" s="13" t="s">
        <v>23</v>
      </c>
      <c r="E206" s="13" t="s">
        <v>131</v>
      </c>
      <c r="F206" s="13" t="s">
        <v>54</v>
      </c>
      <c r="G206" s="13" t="s">
        <v>38</v>
      </c>
      <c r="H206" s="14">
        <v>42.0</v>
      </c>
      <c r="I206" s="14">
        <f t="shared" si="5"/>
        <v>3</v>
      </c>
      <c r="J206" s="13" t="s">
        <v>39</v>
      </c>
      <c r="K206" s="13" t="s">
        <v>27</v>
      </c>
      <c r="L206" s="13" t="s">
        <v>48</v>
      </c>
      <c r="M206" s="13" t="s">
        <v>39</v>
      </c>
      <c r="N206" s="13"/>
      <c r="O206" s="13"/>
      <c r="P206" s="13" t="s">
        <v>29</v>
      </c>
      <c r="Q206" s="13" t="s">
        <v>31</v>
      </c>
      <c r="R206" s="13"/>
      <c r="S206" s="13"/>
      <c r="T206" s="13"/>
      <c r="U206" s="13"/>
    </row>
    <row r="207">
      <c r="A207" s="13" t="s">
        <v>646</v>
      </c>
      <c r="B207" s="20" t="s">
        <v>647</v>
      </c>
      <c r="C207" s="14">
        <v>8.9166188342E10</v>
      </c>
      <c r="D207" s="13" t="s">
        <v>23</v>
      </c>
      <c r="E207" s="13" t="s">
        <v>648</v>
      </c>
      <c r="F207" s="13" t="s">
        <v>76</v>
      </c>
      <c r="G207" s="13" t="s">
        <v>38</v>
      </c>
      <c r="H207" s="14">
        <v>53.0</v>
      </c>
      <c r="I207" s="14">
        <f t="shared" si="5"/>
        <v>4</v>
      </c>
      <c r="J207" s="13" t="s">
        <v>39</v>
      </c>
      <c r="K207" s="13" t="s">
        <v>27</v>
      </c>
      <c r="L207" s="13" t="s">
        <v>39</v>
      </c>
      <c r="M207" s="13" t="s">
        <v>39</v>
      </c>
      <c r="P207" s="13" t="s">
        <v>31</v>
      </c>
      <c r="Q207" s="13" t="s">
        <v>32</v>
      </c>
    </row>
    <row r="208">
      <c r="A208" s="13" t="s">
        <v>649</v>
      </c>
      <c r="B208" s="13" t="s">
        <v>650</v>
      </c>
      <c r="C208" s="14">
        <v>8.9139676837E10</v>
      </c>
      <c r="D208" s="13" t="s">
        <v>23</v>
      </c>
      <c r="E208" s="13" t="s">
        <v>651</v>
      </c>
      <c r="F208" s="13" t="s">
        <v>612</v>
      </c>
      <c r="G208" s="13" t="s">
        <v>38</v>
      </c>
      <c r="H208" s="14">
        <v>33.0</v>
      </c>
      <c r="I208" s="14">
        <f>COUNTIF(J208:M208, "Да")</f>
        <v>1</v>
      </c>
      <c r="J208" s="13" t="s">
        <v>48</v>
      </c>
      <c r="K208" s="13" t="s">
        <v>27</v>
      </c>
      <c r="L208" s="13" t="s">
        <v>48</v>
      </c>
      <c r="M208" s="13" t="s">
        <v>39</v>
      </c>
      <c r="N208" s="13"/>
      <c r="O208" s="13"/>
      <c r="P208" s="13" t="s">
        <v>31</v>
      </c>
      <c r="Q208" s="13" t="s">
        <v>32</v>
      </c>
      <c r="R208" s="13"/>
      <c r="S208" s="13"/>
      <c r="T208" s="13"/>
      <c r="U208" s="13"/>
    </row>
    <row r="209">
      <c r="A209" s="13" t="s">
        <v>652</v>
      </c>
      <c r="B209" s="13" t="s">
        <v>653</v>
      </c>
      <c r="C209" s="14">
        <v>8.9162052211E10</v>
      </c>
      <c r="D209" s="13" t="s">
        <v>52</v>
      </c>
      <c r="E209" s="13" t="s">
        <v>77</v>
      </c>
      <c r="F209" s="13" t="s">
        <v>77</v>
      </c>
      <c r="G209" s="13" t="s">
        <v>26</v>
      </c>
      <c r="H209" s="14">
        <v>33.0</v>
      </c>
      <c r="I209" s="14">
        <f>COUNTIF(J209:M209, "Да")+COUNTIF(J209:M209, "Запас")</f>
        <v>3</v>
      </c>
      <c r="J209" s="13" t="s">
        <v>48</v>
      </c>
      <c r="K209" s="13" t="s">
        <v>27</v>
      </c>
      <c r="L209" s="13" t="s">
        <v>39</v>
      </c>
      <c r="M209" s="28" t="s">
        <v>27</v>
      </c>
      <c r="N209" s="13"/>
      <c r="O209" s="13"/>
      <c r="P209" s="13" t="s">
        <v>29</v>
      </c>
      <c r="Q209" s="13" t="s">
        <v>30</v>
      </c>
      <c r="R209" s="13"/>
      <c r="S209" s="13"/>
      <c r="T209" s="13" t="s">
        <v>29</v>
      </c>
      <c r="U209" s="13" t="s">
        <v>31</v>
      </c>
      <c r="V209" s="13"/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4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4"/>
    <hyperlink r:id="rId70" ref="B197"/>
    <hyperlink r:id="rId71" ref="B200"/>
    <hyperlink r:id="rId72" ref="B201"/>
    <hyperlink r:id="rId73" ref="B204"/>
    <hyperlink r:id="rId74" ref="B205"/>
    <hyperlink r:id="rId75" ref="B206"/>
    <hyperlink r:id="rId76" ref="B207"/>
  </hyperlinks>
  <drawing r:id="rId7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654</v>
      </c>
      <c r="C1" s="21" t="s">
        <v>655</v>
      </c>
      <c r="D1" s="21" t="s">
        <v>656</v>
      </c>
      <c r="E1" s="21" t="s">
        <v>657</v>
      </c>
    </row>
    <row r="2">
      <c r="A2" s="21" t="s">
        <v>40</v>
      </c>
      <c r="B2" s="30" t="s">
        <v>658</v>
      </c>
      <c r="C2" s="30" t="s">
        <v>659</v>
      </c>
      <c r="D2" s="30" t="s">
        <v>660</v>
      </c>
      <c r="E2" s="30" t="s">
        <v>661</v>
      </c>
    </row>
    <row r="3">
      <c r="A3" s="21" t="s">
        <v>29</v>
      </c>
      <c r="B3" s="31" t="s">
        <v>662</v>
      </c>
      <c r="C3" s="31" t="s">
        <v>663</v>
      </c>
      <c r="D3" s="30" t="s">
        <v>664</v>
      </c>
      <c r="E3" s="30" t="s">
        <v>665</v>
      </c>
    </row>
    <row r="5">
      <c r="A5" s="21" t="s">
        <v>32</v>
      </c>
      <c r="B5" s="30" t="s">
        <v>666</v>
      </c>
      <c r="C5" s="30" t="s">
        <v>667</v>
      </c>
      <c r="D5" s="30" t="s">
        <v>668</v>
      </c>
      <c r="E5" s="30" t="s">
        <v>669</v>
      </c>
    </row>
    <row r="6">
      <c r="A6" s="21" t="s">
        <v>30</v>
      </c>
      <c r="B6" s="30" t="s">
        <v>670</v>
      </c>
      <c r="C6" s="30" t="s">
        <v>671</v>
      </c>
      <c r="D6" s="30" t="s">
        <v>672</v>
      </c>
      <c r="E6" s="30" t="s">
        <v>673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674</v>
      </c>
      <c r="B1" s="21" t="s">
        <v>675</v>
      </c>
    </row>
    <row r="2">
      <c r="A2" s="21" t="s">
        <v>40</v>
      </c>
      <c r="B2" s="21" t="s">
        <v>676</v>
      </c>
    </row>
    <row r="3">
      <c r="A3" s="21" t="s">
        <v>29</v>
      </c>
      <c r="B3" s="21" t="s">
        <v>677</v>
      </c>
    </row>
    <row r="5">
      <c r="A5" s="21" t="s">
        <v>32</v>
      </c>
      <c r="B5" s="21" t="s">
        <v>677</v>
      </c>
    </row>
    <row r="6">
      <c r="A6" s="21" t="s">
        <v>30</v>
      </c>
      <c r="B6" s="21" t="s">
        <v>678</v>
      </c>
    </row>
  </sheetData>
  <drawing r:id="rId1"/>
</worksheet>
</file>