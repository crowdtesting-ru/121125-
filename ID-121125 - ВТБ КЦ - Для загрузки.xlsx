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<sst xmlns="http://schemas.openxmlformats.org/spreadsheetml/2006/main" count="3312" uniqueCount="683">
  <si>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</si>
  <si>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</si>
  <si>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</si>
  <si>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</si>
  <si>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</si>
  <si>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</si>
  <si>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</si>
  <si>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</si>
  <si>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</si>
  <si>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</si>
  <si>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</si>
  <si>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</si>
  <si>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</si>
  <si>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</si>
  <si>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</si>
  <si>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</si>
  <si>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</si>
  <si>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</si>
  <si>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</si>
  <si>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</si>
  <si>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</si>
  <si>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</si>
  <si>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</si>
  <si>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</si>
  <si>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</si>
  <si>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</si>
  <si>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</si>
  <si>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</si>
  <si>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</si>
  <si>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</si>
  <si>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</si>
  <si>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</si>
  <si>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</si>
  <si>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</si>
  <si>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</si>
  <si>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</si>
  <si>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</si>
  <si>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</si>
  <si>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</si>
  <si>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</si>
  <si>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</si>
  <si>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</si>
  <si>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</si>
  <si>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</si>
  <si>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</si>
  <si>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</si>
  <si>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</si>
  <si>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</si>
  <si>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</si>
  <si>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</si>
  <si>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</si>
  <si>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</si>
  <si>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</si>
  <si>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</si>
  <si>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</si>
  <si>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</si>
  <si>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</si>
  <si>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</si>
  <si>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</si>
  <si>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</si>
  <si>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</si>
  <si>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</si>
  <si>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</si>
  <si>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</si>
  <si>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</si>
  <si>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</si>
  <si>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</si>
  <si>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</si>
  <si>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</si>
  <si>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</si>
  <si>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</si>
  <si>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</si>
  <si>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</si>
  <si>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</si>
  <si>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</si>
  <si>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</si>
  <si>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</si>
  <si>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</si>
  <si>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</si>
  <si>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</si>
  <si>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</si>
  <si>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</si>
  <si>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</si>
  <si>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</si>
  <si>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</si>
  <si>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</si>
  <si>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</si>
  <si>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</si>
  <si>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</si>
  <si>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</si>
  <si>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</si>
  <si>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</si>
  <si>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</si>
  <si>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</si>
  <si>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</si>
  <si>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</si>
  <si>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</si>
  <si>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</si>
  <si>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</si>
  <si>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</si>
  <si>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</si>
  <si>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</si>
  <si>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</si>
  <si>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</si>
  <si>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</si>
  <si>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</si>
  <si>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</si>
  <si>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</si>
  <si>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</si>
  <si>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</si>
  <si>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</si>
  <si>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</si>
  <si>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</si>
  <si>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</si>
  <si>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</si>
  <si>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</si>
  <si>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</si>
  <si>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</si>
  <si>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</si>
  <si>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</si>
  <si>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</si>
  <si>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</si>
  <si>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</si>
  <si>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</si>
  <si>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</si>
  <si>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</si>
  <si>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</si>
  <si>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</si>
  <si>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</si>
  <si>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</si>
  <si>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</si>
  <si>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</si>
  <si>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</si>
  <si>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</si>
  <si>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</si>
  <si>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</si>
  <si>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Верхова Мария Александровна</t>
  </si>
  <si>
    <t>https://t.me/masha_shee</t>
  </si>
  <si>
    <t>Самарская область</t>
  </si>
  <si>
    <t>Самара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</si>
  <si>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</si>
  <si>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</si>
  <si>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</si>
  <si>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</si>
  <si>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</si>
  <si>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</si>
  <si>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</si>
  <si>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</si>
  <si>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</si>
  <si>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</si>
  <si>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</si>
  <si>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</si>
  <si>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</si>
  <si>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</si>
  <si>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</si>
  <si>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</si>
  <si>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</si>
  <si>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</si>
  <si>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</si>
  <si>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</si>
  <si>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</si>
  <si>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</si>
  <si>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</si>
  <si>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</si>
  <si>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</si>
  <si>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</si>
  <si>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</si>
  <si>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</si>
  <si>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</si>
  <si>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</si>
  <si>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</si>
  <si>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</si>
  <si>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</si>
  <si>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</si>
  <si>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</si>
  <si>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</si>
  <si>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</si>
  <si>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</si>
  <si>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</si>
  <si>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</si>
  <si>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</si>
  <si>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</si>
  <si>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</si>
  <si>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</si>
  <si>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</si>
  <si>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</si>
  <si>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</si>
  <si>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</si>
  <si>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</si>
  <si>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</si>
  <si>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</si>
  <si>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</si>
  <si>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</si>
  <si>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</si>
  <si>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</si>
  <si>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</si>
  <si>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</si>
  <si>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</si>
  <si>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</si>
  <si>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</si>
  <si>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</si>
  <si>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</si>
  <si>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</si>
  <si>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</si>
  <si>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</si>
  <si>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</si>
  <si>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</si>
  <si>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</si>
  <si>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</si>
  <si>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</si>
  <si>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</si>
  <si>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</si>
  <si>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</si>
  <si>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</si>
  <si>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</si>
  <si>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</si>
  <si>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</si>
  <si>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</si>
  <si>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</si>
  <si>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</si>
  <si>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</si>
  <si>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</si>
  <si>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</si>
  <si>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</si>
  <si>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</si>
  <si>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</si>
  <si>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</si>
  <si>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</si>
  <si>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</si>
  <si>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</si>
  <si>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</si>
  <si>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</si>
  <si>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</si>
  <si>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</si>
  <si>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</si>
  <si>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</si>
  <si>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</si>
  <si>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</si>
  <si>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</si>
  <si>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</si>
  <si>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</si>
  <si>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</si>
  <si>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</si>
  <si>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</si>
  <si>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</si>
  <si>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</si>
  <si>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</si>
  <si>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</si>
  <si>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</si>
  <si>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</si>
  <si>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</si>
  <si>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</si>
  <si>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</si>
  <si>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</si>
  <si>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</si>
  <si>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</si>
  <si>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</si>
  <si>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</si>
  <si>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</si>
  <si>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</si>
  <si>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</si>
  <si>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</si>
  <si>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</si>
  <si>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</si>
  <si>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</si>
  <si>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</si>
  <si>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</si>
  <si>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</si>
  <si>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</si>
  <si>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</si>
  <si>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</si>
  <si>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</si>
  <si>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</si>
  <si>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</si>
  <si>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</si>
  <si>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</si>
  <si>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</si>
  <si>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</si>
  <si>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</si>
  <si>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</si>
  <si>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</si>
  <si>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</si>
  <si>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</si>
  <si>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</si>
  <si>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</si>
  <si>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</si>
  <si>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</si>
  <si>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</si>
  <si>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</si>
  <si>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</si>
  <si>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</si>
  <si>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</si>
  <si>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</si>
  <si>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</si>
  <si>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</si>
  <si>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</si>
  <si>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</si>
  <si>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</si>
  <si>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</si>
  <si>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</si>
  <si>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</si>
  <si>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</si>
  <si>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</si>
  <si>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</si>
  <si>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</si>
  <si>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</si>
  <si>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</si>
  <si>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</si>
  <si>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</si>
  <si>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</si>
  <si>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</si>
  <si>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</si>
  <si>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</si>
  <si>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</si>
  <si>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</si>
  <si>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</si>
  <si>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</si>
  <si>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</si>
  <si>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</si>
  <si>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</si>
  <si>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</si>
  <si>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</si>
  <si>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</si>
  <si>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</si>
  <si>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</si>
  <si>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</si>
  <si>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</si>
  <si>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</si>
  <si>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</si>
  <si>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</si>
  <si>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</si>
  <si>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</si>
  <si>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</si>
  <si>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</si>
  <si>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</si>
  <si>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</si>
  <si>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</si>
  <si>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</si>
  <si>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</si>
  <si>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</si>
  <si>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</si>
  <si>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</si>
  <si>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</si>
  <si>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</si>
  <si>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</si>
  <si>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</si>
  <si>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</si>
  <si>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</si>
  <si>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</si>
  <si>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</si>
  <si>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</si>
  <si>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</si>
  <si>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</si>
  <si>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</si>
  <si>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</si>
  <si>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</si>
  <si>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</si>
  <si>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</si>
  <si>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</si>
  <si>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</si>
  <si>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</si>
  <si>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</si>
  <si>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</si>
  <si>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</si>
  <si>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</si>
  <si>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</si>
  <si>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</si>
  <si>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</si>
  <si>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</si>
  <si>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</si>
  <si>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</si>
  <si>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</si>
  <si>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</si>
  <si>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</si>
  <si>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</si>
  <si>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</si>
  <si>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</si>
  <si>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</si>
  <si>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</si>
  <si>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</si>
  <si>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</si>
  <si>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</si>
  <si>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</si>
  <si>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</si>
  <si>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</si>
  <si>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</si>
  <si>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</si>
  <si>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</si>
  <si>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</si>
  <si>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</si>
  <si>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</si>
  <si>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</si>
  <si>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</si>
  <si>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</si>
  <si>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</si>
  <si>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</si>
  <si>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</si>
  <si>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</si>
  <si>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</si>
  <si>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</si>
  <si>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</si>
  <si>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</si>
  <si>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</si>
  <si>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</si>
  <si>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</si>
  <si>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</si>
  <si>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</si>
  <si>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</si>
  <si>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</si>
  <si>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</si>
  <si>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</si>
  <si>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</si>
  <si>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</si>
  <si>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</si>
  <si>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</si>
  <si>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</si>
  <si>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</si>
  <si>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</si>
  <si>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</si>
  <si>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</si>
  <si>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</si>
  <si>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</si>
  <si>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</si>
  <si>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</si>
  <si>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</si>
  <si>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</si>
  <si>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</si>
  <si>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</si>
  <si>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</si>
  <si>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</si>
  <si>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</si>
  <si>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</si>
  <si>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</si>
  <si>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</si>
  <si>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</si>
  <si>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</si>
  <si>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</si>
  <si>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</si>
  <si>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</si>
  <si>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</si>
  <si>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</si>
  <si>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</si>
  <si>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</si>
  <si>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</si>
  <si>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</si>
  <si>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</si>
  <si>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</si>
  <si>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</si>
  <si>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</si>
  <si>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</si>
  <si>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</si>
  <si>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</si>
  <si>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</si>
  <si>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</si>
  <si>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</si>
  <si>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</si>
  <si>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</si>
  <si>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</si>
  <si>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</si>
  <si>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</si>
  <si>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</si>
  <si>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</si>
  <si>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</si>
  <si>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</si>
  <si>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</si>
  <si>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</si>
  <si>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</si>
  <si>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</si>
  <si>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</si>
  <si>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</si>
  <si>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</si>
  <si>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</si>
  <si>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</si>
  <si>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</si>
  <si>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</si>
  <si>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Помелова Александра Юрьевна</t>
  </si>
  <si>
    <t>@addict9856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</si>
  <si>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</si>
  <si>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</si>
  <si>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</si>
  <si>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</si>
  <si>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</si>
  <si>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</si>
  <si>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</si>
  <si>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</si>
  <si>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</si>
  <si>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</si>
  <si>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</si>
  <si>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</si>
  <si>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</si>
  <si>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</si>
  <si>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</si>
  <si>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</si>
  <si>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</si>
  <si>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</si>
  <si>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</si>
  <si>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</si>
  <si>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</si>
  <si>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</si>
  <si>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</si>
  <si>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</si>
  <si>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</si>
  <si>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</si>
  <si>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</si>
  <si>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</si>
  <si>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</si>
  <si>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</si>
  <si>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</si>
  <si>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</si>
  <si>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</si>
  <si>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</si>
  <si>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</si>
  <si>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</si>
  <si>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</si>
  <si>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</si>
  <si>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</si>
  <si>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</si>
  <si>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</si>
  <si>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</si>
  <si>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</si>
  <si>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</si>
  <si>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</si>
  <si>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</si>
  <si>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</si>
  <si>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</si>
  <si>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</si>
  <si>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</si>
  <si>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</si>
  <si>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</si>
  <si>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</si>
  <si>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</si>
  <si>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</si>
  <si>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</si>
  <si>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</si>
  <si>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</si>
  <si>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</si>
  <si>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</si>
  <si>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</si>
  <si>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</si>
  <si>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</si>
  <si>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</si>
  <si>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</si>
  <si>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</si>
  <si>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</si>
  <si>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</si>
  <si>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</si>
  <si>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</si>
  <si>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</si>
  <si>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</si>
  <si>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</si>
  <si>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</si>
  <si>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</si>
  <si>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</si>
  <si>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</si>
  <si>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</si>
  <si>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</si>
  <si>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</si>
  <si>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</si>
  <si>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</si>
  <si>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</si>
  <si>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</si>
  <si>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</si>
  <si>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</si>
  <si>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</si>
  <si>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</si>
  <si>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</si>
  <si>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</si>
  <si>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</si>
  <si>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</si>
  <si>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</si>
  <si>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</si>
  <si>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</si>
  <si>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</si>
  <si>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</si>
  <si>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</si>
  <si>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</si>
  <si>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</si>
  <si>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</si>
  <si>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</si>
  <si>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</si>
  <si>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</si>
  <si>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</si>
  <si>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</si>
  <si>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</si>
  <si>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</si>
  <si>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</si>
  <si>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</si>
  <si>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</si>
  <si>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</si>
  <si>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</si>
  <si>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</si>
  <si>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</si>
  <si>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</si>
  <si>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Выбыл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</si>
  <si>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</si>
  <si>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</si>
  <si>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</si>
  <si>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</si>
  <si>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</si>
  <si>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</si>
  <si>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</si>
  <si>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</si>
  <si>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</si>
  <si>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</si>
  <si>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</si>
  <si>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</si>
  <si>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</si>
  <si>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</si>
  <si>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</si>
  <si>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</si>
  <si>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</si>
  <si>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Чуланов Александр Александрович</t>
  </si>
  <si>
    <t>@adolfinii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</si>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</sst>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8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IrinaMatu" TargetMode="External"/><Relationship Id="rId42" Type="http://schemas.openxmlformats.org/officeDocument/2006/relationships/hyperlink" Target="https://t.me/MelTaniaNikova" TargetMode="External"/><Relationship Id="rId41" Type="http://schemas.openxmlformats.org/officeDocument/2006/relationships/hyperlink" Target="https://t.me/Oneioltopp" TargetMode="External"/><Relationship Id="rId44" Type="http://schemas.openxmlformats.org/officeDocument/2006/relationships/hyperlink" Target="https://t.me/badya_Sandu" TargetMode="External"/><Relationship Id="rId43" Type="http://schemas.openxmlformats.org/officeDocument/2006/relationships/hyperlink" Target="https://t.me/@Obuhova_N" TargetMode="External"/><Relationship Id="rId46" Type="http://schemas.openxmlformats.org/officeDocument/2006/relationships/hyperlink" Target="https://t.me/PrettyGangSir" TargetMode="External"/><Relationship Id="rId45" Type="http://schemas.openxmlformats.org/officeDocument/2006/relationships/hyperlink" Target="https://t.me/@bonae_no_meretrix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oddim17" TargetMode="External"/><Relationship Id="rId47" Type="http://schemas.openxmlformats.org/officeDocument/2006/relationships/hyperlink" Target="https://t.me/seh_met" TargetMode="External"/><Relationship Id="rId49" Type="http://schemas.openxmlformats.org/officeDocument/2006/relationships/hyperlink" Target="https://t.me/curlyhaircom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s://t.me/AnnushkaBg" TargetMode="External"/><Relationship Id="rId72" Type="http://schemas.openxmlformats.org/officeDocument/2006/relationships/hyperlink" Target="https://t.me/junk1n" TargetMode="External"/><Relationship Id="rId31" Type="http://schemas.openxmlformats.org/officeDocument/2006/relationships/hyperlink" Target="https://t.me/ElenKruglova" TargetMode="External"/><Relationship Id="rId75" Type="http://schemas.openxmlformats.org/officeDocument/2006/relationships/hyperlink" Target="http://t.me/hicka2G" TargetMode="External"/><Relationship Id="rId30" Type="http://schemas.openxmlformats.org/officeDocument/2006/relationships/hyperlink" Target="https://t.me/okirilina" TargetMode="External"/><Relationship Id="rId74" Type="http://schemas.openxmlformats.org/officeDocument/2006/relationships/hyperlink" Target="http://t.me/Natkash2005" TargetMode="External"/><Relationship Id="rId33" Type="http://schemas.openxmlformats.org/officeDocument/2006/relationships/hyperlink" Target="https://t.me/Antonio" TargetMode="External"/><Relationship Id="rId77" Type="http://schemas.openxmlformats.org/officeDocument/2006/relationships/hyperlink" Target="https://t.me/@YurVol71" TargetMode="External"/><Relationship Id="rId32" Type="http://schemas.openxmlformats.org/officeDocument/2006/relationships/hyperlink" Target="https://t.me/bagira_marks" TargetMode="External"/><Relationship Id="rId76" Type="http://schemas.openxmlformats.org/officeDocument/2006/relationships/hyperlink" Target="http://t.me/IgorFilippov_02" TargetMode="External"/><Relationship Id="rId35" Type="http://schemas.openxmlformats.org/officeDocument/2006/relationships/hyperlink" Target="https://t.me/Kseniaa555" TargetMode="External"/><Relationship Id="rId34" Type="http://schemas.openxmlformats.org/officeDocument/2006/relationships/hyperlink" Target="https://t.me/OLga17o" TargetMode="External"/><Relationship Id="rId78" Type="http://schemas.openxmlformats.org/officeDocument/2006/relationships/drawing" Target="../drawings/drawing1.xml"/><Relationship Id="rId71" Type="http://schemas.openxmlformats.org/officeDocument/2006/relationships/hyperlink" Target="http://t.me/Potecc" TargetMode="External"/><Relationship Id="rId70" Type="http://schemas.openxmlformats.org/officeDocument/2006/relationships/hyperlink" Target="https://t.me/AnnaShhhmeleva" TargetMode="External"/><Relationship Id="rId37" Type="http://schemas.openxmlformats.org/officeDocument/2006/relationships/hyperlink" Target="http://t.me/irisha23" TargetMode="External"/><Relationship Id="rId36" Type="http://schemas.openxmlformats.org/officeDocument/2006/relationships/hyperlink" Target="https://t.me/LexLvov" TargetMode="External"/><Relationship Id="rId39" Type="http://schemas.openxmlformats.org/officeDocument/2006/relationships/hyperlink" Target="https://t.me/prpdbne" TargetMode="External"/><Relationship Id="rId38" Type="http://schemas.openxmlformats.org/officeDocument/2006/relationships/hyperlink" Target="https://t.me/Artxde" TargetMode="External"/><Relationship Id="rId62" Type="http://schemas.openxmlformats.org/officeDocument/2006/relationships/hyperlink" Target="https://t.me/nastyat1996" TargetMode="External"/><Relationship Id="rId61" Type="http://schemas.openxmlformats.org/officeDocument/2006/relationships/hyperlink" Target="http://t.me/Str434" TargetMode="External"/><Relationship Id="rId20" Type="http://schemas.openxmlformats.org/officeDocument/2006/relationships/hyperlink" Target="http://t.me/Nicolay_Danilov" TargetMode="External"/><Relationship Id="rId64" Type="http://schemas.openxmlformats.org/officeDocument/2006/relationships/hyperlink" Target="https://t.me/arkadag13" TargetMode="External"/><Relationship Id="rId63" Type="http://schemas.openxmlformats.org/officeDocument/2006/relationships/hyperlink" Target="https://t.me/N_lvonok" TargetMode="External"/><Relationship Id="rId22" Type="http://schemas.openxmlformats.org/officeDocument/2006/relationships/hyperlink" Target="https://t.me/irlikeve" TargetMode="External"/><Relationship Id="rId66" Type="http://schemas.openxmlformats.org/officeDocument/2006/relationships/hyperlink" Target="https://t.me/mr_kko" TargetMode="External"/><Relationship Id="rId21" Type="http://schemas.openxmlformats.org/officeDocument/2006/relationships/hyperlink" Target="http://t.me/Aigul_Dustanova" TargetMode="External"/><Relationship Id="rId65" Type="http://schemas.openxmlformats.org/officeDocument/2006/relationships/hyperlink" Target="https://t.me/Alex_RM" TargetMode="External"/><Relationship Id="rId24" Type="http://schemas.openxmlformats.org/officeDocument/2006/relationships/hyperlink" Target="https://t.me/uuuuttaa" TargetMode="External"/><Relationship Id="rId68" Type="http://schemas.openxmlformats.org/officeDocument/2006/relationships/hyperlink" Target="https://t.me/Dimanche835" TargetMode="External"/><Relationship Id="rId23" Type="http://schemas.openxmlformats.org/officeDocument/2006/relationships/hyperlink" Target="https://t.me/valentine253" TargetMode="External"/><Relationship Id="rId67" Type="http://schemas.openxmlformats.org/officeDocument/2006/relationships/hyperlink" Target="https://t.me/Holmovs" TargetMode="External"/><Relationship Id="rId60" Type="http://schemas.openxmlformats.org/officeDocument/2006/relationships/hyperlink" Target="https://t.me/tlguid" TargetMode="External"/><Relationship Id="rId26" Type="http://schemas.openxmlformats.org/officeDocument/2006/relationships/hyperlink" Target="https://t.me/nas888tya" TargetMode="External"/><Relationship Id="rId25" Type="http://schemas.openxmlformats.org/officeDocument/2006/relationships/hyperlink" Target="https://t.me/LyubaZhol" TargetMode="External"/><Relationship Id="rId69" Type="http://schemas.openxmlformats.org/officeDocument/2006/relationships/hyperlink" Target="https://t.me/dima777939" TargetMode="External"/><Relationship Id="rId28" Type="http://schemas.openxmlformats.org/officeDocument/2006/relationships/hyperlink" Target="https://t.me/oksy_kaa" TargetMode="External"/><Relationship Id="rId27" Type="http://schemas.openxmlformats.org/officeDocument/2006/relationships/hyperlink" Target="https://t.me/olgakalinina2103" TargetMode="External"/><Relationship Id="rId29" Type="http://schemas.openxmlformats.org/officeDocument/2006/relationships/hyperlink" Target="https://t.me/Kil_N_V" TargetMode="External"/><Relationship Id="rId51" Type="http://schemas.openxmlformats.org/officeDocument/2006/relationships/hyperlink" Target="https://t.me/Sap0778" TargetMode="External"/><Relationship Id="rId50" Type="http://schemas.openxmlformats.org/officeDocument/2006/relationships/hyperlink" Target="https://t.me/venopus" TargetMode="External"/><Relationship Id="rId53" Type="http://schemas.openxmlformats.org/officeDocument/2006/relationships/hyperlink" Target="https://t.me/Evgen_Rategov" TargetMode="External"/><Relationship Id="rId52" Type="http://schemas.openxmlformats.org/officeDocument/2006/relationships/hyperlink" Target="http://t.me/treger78" TargetMode="External"/><Relationship Id="rId11" Type="http://schemas.openxmlformats.org/officeDocument/2006/relationships/hyperlink" Target="https://t.me/masha_shee" TargetMode="External"/><Relationship Id="rId55" Type="http://schemas.openxmlformats.org/officeDocument/2006/relationships/hyperlink" Target="https://t.me/rickdanil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all_654" TargetMode="External"/><Relationship Id="rId13" Type="http://schemas.openxmlformats.org/officeDocument/2006/relationships/hyperlink" Target="https://t.me/ernikoy" TargetMode="External"/><Relationship Id="rId57" Type="http://schemas.openxmlformats.org/officeDocument/2006/relationships/hyperlink" Target="https://t.me/sizmakhom" TargetMode="External"/><Relationship Id="rId12" Type="http://schemas.openxmlformats.org/officeDocument/2006/relationships/hyperlink" Target="https://t.me/demet_rus" TargetMode="External"/><Relationship Id="rId56" Type="http://schemas.openxmlformats.org/officeDocument/2006/relationships/hyperlink" Target="https://t.me/Dobrolet4" TargetMode="External"/><Relationship Id="rId15" Type="http://schemas.openxmlformats.org/officeDocument/2006/relationships/hyperlink" Target="https://t.me/svetagrinn" TargetMode="External"/><Relationship Id="rId59" Type="http://schemas.openxmlformats.org/officeDocument/2006/relationships/hyperlink" Target="https://t.me/vokrats" TargetMode="External"/><Relationship Id="rId14" Type="http://schemas.openxmlformats.org/officeDocument/2006/relationships/hyperlink" Target="https://t.me/nessy1998" TargetMode="External"/><Relationship Id="rId58" Type="http://schemas.openxmlformats.org/officeDocument/2006/relationships/hyperlink" Target="https://t.me/maxrazrabotUnity1994" TargetMode="External"/><Relationship Id="rId17" Type="http://schemas.openxmlformats.org/officeDocument/2006/relationships/hyperlink" Target="https://t.me/svetlanika_gs" TargetMode="External"/><Relationship Id="rId16" Type="http://schemas.openxmlformats.org/officeDocument/2006/relationships/hyperlink" Target="https://t.me/AlekseyDG" TargetMode="External"/><Relationship Id="rId19" Type="http://schemas.openxmlformats.org/officeDocument/2006/relationships/hyperlink" Target="https://t.me/LexNilov" TargetMode="External"/><Relationship Id="rId18" Type="http://schemas.openxmlformats.org/officeDocument/2006/relationships/hyperlink" Target="https://t.me/gumaliva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8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101</v>
      </c>
      <c r="Y4" s="22">
        <v>90.0</v>
      </c>
    </row>
    <row r="5">
      <c r="A5" s="13" t="s">
        <v>50</v>
      </c>
      <c r="B5" s="18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109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98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102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4" t="s">
        <v>33</v>
      </c>
      <c r="Q8" s="24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4" t="s">
        <v>33</v>
      </c>
      <c r="S9" s="24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4" t="s">
        <v>33</v>
      </c>
      <c r="U11" s="24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4" t="s">
        <v>33</v>
      </c>
      <c r="Q12" s="24" t="s">
        <v>33</v>
      </c>
      <c r="R12" s="13" t="s">
        <v>31</v>
      </c>
      <c r="S12" s="13" t="s">
        <v>32</v>
      </c>
      <c r="T12" s="24" t="s">
        <v>33</v>
      </c>
      <c r="U12" s="24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4" t="s">
        <v>33</v>
      </c>
      <c r="U13" s="24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5"/>
      <c r="W14" s="25"/>
      <c r="Y14" s="25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4" t="s">
        <v>33</v>
      </c>
      <c r="Q15" s="24" t="s">
        <v>33</v>
      </c>
      <c r="R15" s="13" t="s">
        <v>29</v>
      </c>
      <c r="S15" s="13" t="s">
        <v>30</v>
      </c>
      <c r="T15" s="24" t="s">
        <v>33</v>
      </c>
      <c r="U15" s="24" t="s">
        <v>33</v>
      </c>
      <c r="V15" s="25"/>
      <c r="W15" s="25"/>
      <c r="Y15" s="25"/>
    </row>
    <row r="16">
      <c r="A16" s="26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4" t="s">
        <v>33</v>
      </c>
      <c r="Q16" s="24" t="s">
        <v>33</v>
      </c>
      <c r="R16" s="13" t="s">
        <v>31</v>
      </c>
      <c r="S16" s="13" t="s">
        <v>32</v>
      </c>
      <c r="T16" s="24" t="s">
        <v>33</v>
      </c>
      <c r="U16" s="24" t="s">
        <v>33</v>
      </c>
      <c r="V16" s="25"/>
      <c r="W16" s="25"/>
      <c r="Y16" s="25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4" t="s">
        <v>33</v>
      </c>
      <c r="Q17" s="24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5"/>
      <c r="W17" s="25"/>
      <c r="Y17" s="25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4" t="s">
        <v>33</v>
      </c>
      <c r="Q18" s="24" t="s">
        <v>33</v>
      </c>
      <c r="R18" s="13" t="s">
        <v>29</v>
      </c>
      <c r="S18" s="13" t="s">
        <v>30</v>
      </c>
      <c r="T18" s="24" t="s">
        <v>33</v>
      </c>
      <c r="U18" s="24" t="s">
        <v>33</v>
      </c>
      <c r="V18" s="25"/>
      <c r="W18" s="25"/>
      <c r="Y18" s="25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39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4" t="s">
        <v>33</v>
      </c>
      <c r="Q21" s="24" t="s">
        <v>33</v>
      </c>
      <c r="R21" s="13" t="s">
        <v>31</v>
      </c>
      <c r="S21" s="13" t="s">
        <v>32</v>
      </c>
      <c r="T21" s="24" t="s">
        <v>33</v>
      </c>
      <c r="U21" s="24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4" t="s">
        <v>33</v>
      </c>
      <c r="O23" s="24" t="s">
        <v>33</v>
      </c>
      <c r="P23" s="24" t="s">
        <v>33</v>
      </c>
      <c r="Q23" s="24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4" t="s">
        <v>33</v>
      </c>
      <c r="O24" s="24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8.927606327E10</v>
      </c>
      <c r="D27" s="13" t="s">
        <v>23</v>
      </c>
      <c r="E27" s="13" t="s">
        <v>138</v>
      </c>
      <c r="F27" s="13" t="s">
        <v>139</v>
      </c>
      <c r="G27" s="13" t="s">
        <v>26</v>
      </c>
      <c r="H27" s="14">
        <v>39.0</v>
      </c>
      <c r="I27" s="14">
        <f t="shared" si="1"/>
        <v>4</v>
      </c>
      <c r="J27" s="13" t="s">
        <v>39</v>
      </c>
      <c r="K27" s="13" t="s">
        <v>39</v>
      </c>
      <c r="L27" s="13" t="s">
        <v>39</v>
      </c>
      <c r="M27" s="13" t="s">
        <v>27</v>
      </c>
      <c r="N27" s="13"/>
      <c r="O27" s="13"/>
      <c r="P27" s="13"/>
      <c r="Q27" s="13"/>
      <c r="R27" s="13"/>
      <c r="S27" s="13"/>
      <c r="T27" s="13" t="s">
        <v>29</v>
      </c>
      <c r="U27" s="13" t="s">
        <v>31</v>
      </c>
    </row>
    <row r="28">
      <c r="A28" s="13" t="s">
        <v>140</v>
      </c>
      <c r="B28" s="20" t="s">
        <v>141</v>
      </c>
      <c r="C28" s="14">
        <v>8.9135864648E10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46.0</v>
      </c>
      <c r="I28" s="14">
        <f t="shared" si="1"/>
        <v>3</v>
      </c>
      <c r="J28" s="13" t="s">
        <v>48</v>
      </c>
      <c r="K28" s="13" t="s">
        <v>27</v>
      </c>
      <c r="L28" s="13" t="s">
        <v>27</v>
      </c>
      <c r="M28" s="13" t="s">
        <v>39</v>
      </c>
      <c r="N28" s="24" t="s">
        <v>33</v>
      </c>
      <c r="O28" s="24" t="s">
        <v>33</v>
      </c>
      <c r="P28" s="13" t="s">
        <v>40</v>
      </c>
      <c r="Q28" s="13" t="s">
        <v>32</v>
      </c>
      <c r="R28" s="13" t="s">
        <v>40</v>
      </c>
      <c r="S28" s="13" t="s">
        <v>32</v>
      </c>
      <c r="T28" s="13"/>
      <c r="U28" s="13"/>
    </row>
    <row r="29">
      <c r="A29" s="13" t="s">
        <v>144</v>
      </c>
      <c r="B29" s="13" t="s">
        <v>145</v>
      </c>
      <c r="C29" s="14">
        <v>8.9522703999E10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40.0</v>
      </c>
      <c r="I29" s="14">
        <f t="shared" si="1"/>
        <v>2</v>
      </c>
      <c r="J29" s="13" t="s">
        <v>27</v>
      </c>
      <c r="K29" s="13" t="s">
        <v>48</v>
      </c>
      <c r="L29" s="13" t="s">
        <v>48</v>
      </c>
      <c r="M29" s="13" t="s">
        <v>27</v>
      </c>
      <c r="N29" s="13" t="s">
        <v>40</v>
      </c>
      <c r="O29" s="13" t="s">
        <v>32</v>
      </c>
      <c r="P29" s="24" t="s">
        <v>33</v>
      </c>
      <c r="Q29" s="24" t="s">
        <v>33</v>
      </c>
      <c r="R29" s="24" t="s">
        <v>33</v>
      </c>
      <c r="S29" s="24" t="s">
        <v>33</v>
      </c>
      <c r="T29" s="13" t="s">
        <v>29</v>
      </c>
      <c r="U29" s="13" t="s">
        <v>31</v>
      </c>
    </row>
    <row r="30">
      <c r="A30" s="13" t="s">
        <v>148</v>
      </c>
      <c r="B30" s="13" t="s">
        <v>149</v>
      </c>
      <c r="C30" s="14">
        <v>8.9053939977E10</v>
      </c>
      <c r="D30" s="13" t="s">
        <v>23</v>
      </c>
      <c r="E30" s="13" t="s">
        <v>150</v>
      </c>
      <c r="F30" s="13" t="s">
        <v>151</v>
      </c>
      <c r="G30" s="13" t="s">
        <v>38</v>
      </c>
      <c r="H30" s="14">
        <v>45.0</v>
      </c>
      <c r="I30" s="14">
        <f t="shared" si="1"/>
        <v>3</v>
      </c>
      <c r="J30" s="13" t="s">
        <v>27</v>
      </c>
      <c r="K30" s="13" t="s">
        <v>28</v>
      </c>
      <c r="L30" s="13" t="s">
        <v>27</v>
      </c>
      <c r="M30" s="13" t="s">
        <v>27</v>
      </c>
      <c r="N30" s="13" t="s">
        <v>40</v>
      </c>
      <c r="O30" s="21" t="s">
        <v>31</v>
      </c>
      <c r="P30" s="24" t="s">
        <v>33</v>
      </c>
      <c r="Q30" s="24" t="s">
        <v>33</v>
      </c>
      <c r="R30" s="13" t="s">
        <v>40</v>
      </c>
      <c r="S30" s="13" t="s">
        <v>32</v>
      </c>
      <c r="T30" s="13" t="s">
        <v>40</v>
      </c>
      <c r="U30" s="13" t="s">
        <v>32</v>
      </c>
    </row>
    <row r="31">
      <c r="A31" s="13" t="s">
        <v>152</v>
      </c>
      <c r="B31" s="20" t="s">
        <v>153</v>
      </c>
      <c r="C31" s="14">
        <v>8.9256267759E10</v>
      </c>
      <c r="D31" s="13" t="s">
        <v>23</v>
      </c>
      <c r="E31" s="13" t="s">
        <v>77</v>
      </c>
      <c r="F31" s="13" t="s">
        <v>77</v>
      </c>
      <c r="G31" s="13" t="s">
        <v>38</v>
      </c>
      <c r="H31" s="14">
        <v>27.0</v>
      </c>
      <c r="I31" s="14">
        <f t="shared" si="1"/>
        <v>2</v>
      </c>
      <c r="J31" s="13" t="s">
        <v>39</v>
      </c>
      <c r="K31" s="13" t="s">
        <v>28</v>
      </c>
      <c r="L31" s="13" t="s">
        <v>27</v>
      </c>
      <c r="M31" s="13" t="s">
        <v>28</v>
      </c>
      <c r="N31" s="13"/>
      <c r="O31" s="13"/>
      <c r="P31" s="24" t="s">
        <v>33</v>
      </c>
      <c r="Q31" s="24" t="s">
        <v>33</v>
      </c>
      <c r="R31" s="13" t="s">
        <v>40</v>
      </c>
      <c r="S31" s="13" t="s">
        <v>32</v>
      </c>
      <c r="T31" s="24" t="s">
        <v>33</v>
      </c>
      <c r="U31" s="24" t="s">
        <v>33</v>
      </c>
    </row>
    <row r="32">
      <c r="A32" s="13" t="s">
        <v>154</v>
      </c>
      <c r="B32" s="13" t="s">
        <v>155</v>
      </c>
      <c r="C32" s="14">
        <v>8.9012849535E10</v>
      </c>
      <c r="D32" s="13" t="s">
        <v>52</v>
      </c>
      <c r="E32" s="13" t="s">
        <v>156</v>
      </c>
      <c r="F32" s="13" t="s">
        <v>157</v>
      </c>
      <c r="G32" s="13" t="s">
        <v>38</v>
      </c>
      <c r="H32" s="14">
        <v>50.0</v>
      </c>
      <c r="I32" s="14">
        <f t="shared" si="1"/>
        <v>4</v>
      </c>
      <c r="J32" s="13" t="s">
        <v>27</v>
      </c>
      <c r="K32" s="13" t="s">
        <v>27</v>
      </c>
      <c r="L32" s="13" t="s">
        <v>27</v>
      </c>
      <c r="M32" s="13" t="s">
        <v>27</v>
      </c>
      <c r="N32" s="13" t="s">
        <v>40</v>
      </c>
      <c r="O32" s="13" t="s">
        <v>32</v>
      </c>
      <c r="P32" s="13" t="s">
        <v>31</v>
      </c>
      <c r="Q32" s="13" t="s">
        <v>32</v>
      </c>
      <c r="R32" s="13" t="s">
        <v>29</v>
      </c>
      <c r="S32" s="13" t="s">
        <v>31</v>
      </c>
      <c r="T32" s="24" t="s">
        <v>33</v>
      </c>
      <c r="U32" s="24" t="s">
        <v>33</v>
      </c>
    </row>
    <row r="33">
      <c r="A33" s="13" t="s">
        <v>158</v>
      </c>
      <c r="B33" s="13" t="s">
        <v>159</v>
      </c>
      <c r="C33" s="14">
        <v>8.9649669677E10</v>
      </c>
      <c r="D33" s="13" t="s">
        <v>23</v>
      </c>
      <c r="E33" s="13" t="s">
        <v>160</v>
      </c>
      <c r="F33" s="13" t="s">
        <v>161</v>
      </c>
      <c r="G33" s="13" t="s">
        <v>26</v>
      </c>
      <c r="H33" s="14">
        <v>43.0</v>
      </c>
      <c r="I33" s="14">
        <f t="shared" si="1"/>
        <v>2</v>
      </c>
      <c r="J33" s="13" t="s">
        <v>27</v>
      </c>
      <c r="K33" s="13" t="s">
        <v>27</v>
      </c>
      <c r="L33" s="13" t="s">
        <v>28</v>
      </c>
      <c r="M33" s="13" t="s">
        <v>28</v>
      </c>
      <c r="N33" s="13" t="s">
        <v>40</v>
      </c>
      <c r="O33" s="13" t="s">
        <v>32</v>
      </c>
      <c r="P33" s="13" t="s">
        <v>31</v>
      </c>
      <c r="Q33" s="13" t="s">
        <v>32</v>
      </c>
      <c r="R33" s="24" t="s">
        <v>33</v>
      </c>
      <c r="S33" s="24" t="s">
        <v>33</v>
      </c>
      <c r="T33" s="24" t="s">
        <v>33</v>
      </c>
      <c r="U33" s="24" t="s">
        <v>33</v>
      </c>
    </row>
    <row r="34">
      <c r="A34" s="13" t="s">
        <v>162</v>
      </c>
      <c r="B34" s="20" t="s">
        <v>163</v>
      </c>
      <c r="C34" s="14">
        <v>8.9523546538E10</v>
      </c>
      <c r="D34" s="13" t="s">
        <v>52</v>
      </c>
      <c r="E34" s="13" t="s">
        <v>164</v>
      </c>
      <c r="F34" s="13" t="s">
        <v>164</v>
      </c>
      <c r="G34" s="13" t="s">
        <v>26</v>
      </c>
      <c r="H34" s="14">
        <v>27.0</v>
      </c>
      <c r="I34" s="14">
        <f t="shared" si="1"/>
        <v>4</v>
      </c>
      <c r="J34" s="13" t="s">
        <v>27</v>
      </c>
      <c r="K34" s="13" t="s">
        <v>27</v>
      </c>
      <c r="L34" s="13" t="s">
        <v>27</v>
      </c>
      <c r="M34" s="13" t="s">
        <v>27</v>
      </c>
      <c r="N34" s="13" t="s">
        <v>29</v>
      </c>
      <c r="O34" s="13" t="s">
        <v>30</v>
      </c>
      <c r="P34" s="13"/>
      <c r="Q34" s="13"/>
      <c r="R34" s="13" t="s">
        <v>29</v>
      </c>
      <c r="S34" s="13" t="s">
        <v>30</v>
      </c>
      <c r="T34" s="13" t="s">
        <v>29</v>
      </c>
      <c r="U34" s="13" t="s">
        <v>30</v>
      </c>
    </row>
    <row r="35">
      <c r="A35" s="13" t="s">
        <v>165</v>
      </c>
      <c r="B35" s="13" t="s">
        <v>166</v>
      </c>
      <c r="C35" s="14">
        <v>8.9256453735E10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28.0</v>
      </c>
      <c r="I35" s="14">
        <f t="shared" si="1"/>
        <v>3</v>
      </c>
      <c r="J35" s="13" t="s">
        <v>27</v>
      </c>
      <c r="K35" s="13" t="s">
        <v>39</v>
      </c>
      <c r="L35" s="13" t="s">
        <v>27</v>
      </c>
      <c r="M35" s="13" t="s">
        <v>48</v>
      </c>
      <c r="N35" s="13" t="s">
        <v>29</v>
      </c>
      <c r="O35" s="13" t="s">
        <v>31</v>
      </c>
      <c r="P35" s="13"/>
      <c r="Q35" s="13"/>
      <c r="R35" s="13" t="s">
        <v>29</v>
      </c>
      <c r="S35" s="13" t="s">
        <v>30</v>
      </c>
      <c r="T35" s="24" t="s">
        <v>33</v>
      </c>
      <c r="U35" s="24" t="s">
        <v>33</v>
      </c>
    </row>
    <row r="36">
      <c r="A36" s="13" t="s">
        <v>167</v>
      </c>
      <c r="B36" s="13" t="s">
        <v>168</v>
      </c>
      <c r="C36" s="14">
        <v>8.9265105883E10</v>
      </c>
      <c r="D36" s="13" t="s">
        <v>23</v>
      </c>
      <c r="E36" s="13" t="s">
        <v>77</v>
      </c>
      <c r="F36" s="13" t="s">
        <v>77</v>
      </c>
      <c r="G36" s="13" t="s">
        <v>26</v>
      </c>
      <c r="H36" s="14">
        <v>43.0</v>
      </c>
      <c r="I36" s="14">
        <f t="shared" si="1"/>
        <v>4</v>
      </c>
      <c r="J36" s="13" t="s">
        <v>39</v>
      </c>
      <c r="K36" s="13" t="s">
        <v>39</v>
      </c>
      <c r="L36" s="13" t="s">
        <v>27</v>
      </c>
      <c r="M36" s="13" t="s">
        <v>27</v>
      </c>
      <c r="N36" s="13"/>
      <c r="O36" s="13"/>
      <c r="P36" s="13" t="s">
        <v>31</v>
      </c>
      <c r="Q36" s="13" t="s">
        <v>32</v>
      </c>
      <c r="R36" s="13"/>
      <c r="S36" s="13"/>
      <c r="T36" s="13" t="s">
        <v>29</v>
      </c>
      <c r="U36" s="13" t="s">
        <v>31</v>
      </c>
    </row>
    <row r="37">
      <c r="A37" s="13" t="s">
        <v>169</v>
      </c>
      <c r="B37" s="20" t="s">
        <v>170</v>
      </c>
      <c r="C37" s="14">
        <v>8.9290220229E10</v>
      </c>
      <c r="D37" s="13" t="s">
        <v>23</v>
      </c>
      <c r="E37" s="14">
        <v>32.0</v>
      </c>
      <c r="F37" s="13" t="s">
        <v>171</v>
      </c>
      <c r="G37" s="13" t="s">
        <v>26</v>
      </c>
      <c r="H37" s="14">
        <v>43.0</v>
      </c>
      <c r="I37" s="14">
        <f t="shared" si="1"/>
        <v>2</v>
      </c>
      <c r="J37" s="13" t="s">
        <v>39</v>
      </c>
      <c r="K37" s="13" t="s">
        <v>28</v>
      </c>
      <c r="L37" s="13" t="s">
        <v>27</v>
      </c>
      <c r="M37" s="13" t="s">
        <v>28</v>
      </c>
      <c r="N37" s="13"/>
      <c r="O37" s="13"/>
      <c r="P37" s="24" t="s">
        <v>33</v>
      </c>
      <c r="Q37" s="24" t="s">
        <v>33</v>
      </c>
      <c r="R37" s="13" t="s">
        <v>40</v>
      </c>
      <c r="S37" s="13" t="s">
        <v>32</v>
      </c>
      <c r="T37" s="24" t="s">
        <v>33</v>
      </c>
      <c r="U37" s="24" t="s">
        <v>33</v>
      </c>
    </row>
    <row r="38">
      <c r="A38" s="13" t="s">
        <v>172</v>
      </c>
      <c r="B38" s="20" t="s">
        <v>173</v>
      </c>
      <c r="C38" s="14">
        <v>8.9520522216E10</v>
      </c>
      <c r="D38" s="13" t="s">
        <v>23</v>
      </c>
      <c r="E38" s="13" t="s">
        <v>174</v>
      </c>
      <c r="F38" s="13" t="s">
        <v>175</v>
      </c>
      <c r="G38" s="13" t="s">
        <v>38</v>
      </c>
      <c r="H38" s="14">
        <v>40.0</v>
      </c>
      <c r="I38" s="14">
        <f t="shared" si="1"/>
        <v>3</v>
      </c>
      <c r="J38" s="13" t="s">
        <v>39</v>
      </c>
      <c r="K38" s="13" t="s">
        <v>28</v>
      </c>
      <c r="L38" s="13" t="s">
        <v>27</v>
      </c>
      <c r="M38" s="13" t="s">
        <v>27</v>
      </c>
      <c r="N38" s="13"/>
      <c r="O38" s="13"/>
      <c r="P38" s="24" t="s">
        <v>33</v>
      </c>
      <c r="Q38" s="24" t="s">
        <v>33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176</v>
      </c>
      <c r="B39" s="20" t="s">
        <v>177</v>
      </c>
      <c r="C39" s="14">
        <v>8.9601483424E10</v>
      </c>
      <c r="D39" s="13" t="s">
        <v>23</v>
      </c>
      <c r="E39" s="13" t="s">
        <v>164</v>
      </c>
      <c r="F39" s="13" t="s">
        <v>164</v>
      </c>
      <c r="G39" s="13" t="s">
        <v>26</v>
      </c>
      <c r="H39" s="14">
        <v>47.0</v>
      </c>
      <c r="I39" s="14">
        <f t="shared" si="1"/>
        <v>4</v>
      </c>
      <c r="J39" s="13" t="s">
        <v>39</v>
      </c>
      <c r="K39" s="13" t="s">
        <v>39</v>
      </c>
      <c r="L39" s="13" t="s">
        <v>39</v>
      </c>
      <c r="M39" s="13" t="s">
        <v>39</v>
      </c>
      <c r="N39" s="24" t="s">
        <v>33</v>
      </c>
      <c r="O39" s="24" t="s">
        <v>33</v>
      </c>
      <c r="P39" s="24" t="s">
        <v>33</v>
      </c>
      <c r="Q39" s="24" t="s">
        <v>33</v>
      </c>
      <c r="R39" s="24" t="s">
        <v>33</v>
      </c>
      <c r="S39" s="24" t="s">
        <v>33</v>
      </c>
      <c r="T39" s="24" t="s">
        <v>33</v>
      </c>
      <c r="U39" s="24" t="s">
        <v>33</v>
      </c>
    </row>
    <row r="40">
      <c r="A40" s="13" t="s">
        <v>178</v>
      </c>
      <c r="B40" s="20" t="s">
        <v>179</v>
      </c>
      <c r="C40" s="14">
        <v>8.9656092161E10</v>
      </c>
      <c r="D40" s="13" t="s">
        <v>52</v>
      </c>
      <c r="E40" s="13" t="s">
        <v>96</v>
      </c>
      <c r="F40" s="13" t="s">
        <v>180</v>
      </c>
      <c r="G40" s="13" t="s">
        <v>26</v>
      </c>
      <c r="H40" s="14">
        <v>25.0</v>
      </c>
      <c r="I40" s="14">
        <f t="shared" si="1"/>
        <v>4</v>
      </c>
      <c r="J40" s="27" t="s">
        <v>27</v>
      </c>
      <c r="K40" s="13" t="s">
        <v>39</v>
      </c>
      <c r="L40" s="13" t="s">
        <v>39</v>
      </c>
      <c r="M40" s="13" t="s">
        <v>27</v>
      </c>
      <c r="N40" s="13" t="s">
        <v>31</v>
      </c>
      <c r="O40" s="13" t="s">
        <v>32</v>
      </c>
      <c r="P40" s="13"/>
      <c r="Q40" s="13"/>
      <c r="R40" s="13"/>
      <c r="S40" s="13"/>
      <c r="T40" s="13" t="s">
        <v>31</v>
      </c>
      <c r="U40" s="13" t="s">
        <v>32</v>
      </c>
    </row>
    <row r="41">
      <c r="A41" s="13" t="s">
        <v>181</v>
      </c>
      <c r="B41" s="20" t="s">
        <v>182</v>
      </c>
      <c r="C41" s="14">
        <v>8.9127602734E10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45.0</v>
      </c>
      <c r="I41" s="14">
        <f t="shared" si="1"/>
        <v>2</v>
      </c>
      <c r="J41" s="13" t="s">
        <v>27</v>
      </c>
      <c r="K41" s="13" t="s">
        <v>28</v>
      </c>
      <c r="L41" s="13" t="s">
        <v>27</v>
      </c>
      <c r="M41" s="13" t="s">
        <v>28</v>
      </c>
      <c r="N41" s="13" t="s">
        <v>40</v>
      </c>
      <c r="O41" s="13" t="s">
        <v>32</v>
      </c>
      <c r="P41" s="24" t="s">
        <v>33</v>
      </c>
      <c r="Q41" s="24" t="s">
        <v>33</v>
      </c>
      <c r="R41" s="13" t="s">
        <v>40</v>
      </c>
      <c r="S41" s="13" t="s">
        <v>32</v>
      </c>
      <c r="T41" s="24" t="s">
        <v>33</v>
      </c>
      <c r="U41" s="24" t="s">
        <v>33</v>
      </c>
    </row>
    <row r="42">
      <c r="A42" s="13" t="s">
        <v>185</v>
      </c>
      <c r="B42" s="20" t="s">
        <v>186</v>
      </c>
      <c r="C42" s="14">
        <v>8.9627586248E10</v>
      </c>
      <c r="D42" s="13" t="s">
        <v>23</v>
      </c>
      <c r="E42" s="13" t="s">
        <v>187</v>
      </c>
      <c r="F42" s="13" t="s">
        <v>188</v>
      </c>
      <c r="G42" s="13" t="s">
        <v>38</v>
      </c>
      <c r="H42" s="14">
        <v>41.0</v>
      </c>
      <c r="I42" s="14">
        <f t="shared" si="1"/>
        <v>2</v>
      </c>
      <c r="J42" s="13" t="s">
        <v>27</v>
      </c>
      <c r="K42" s="13" t="s">
        <v>27</v>
      </c>
      <c r="L42" s="13" t="s">
        <v>28</v>
      </c>
      <c r="M42" s="13" t="s">
        <v>28</v>
      </c>
      <c r="N42" s="13" t="s">
        <v>29</v>
      </c>
      <c r="O42" s="13" t="s">
        <v>30</v>
      </c>
      <c r="P42" s="13" t="s">
        <v>40</v>
      </c>
      <c r="Q42" s="13" t="s">
        <v>32</v>
      </c>
      <c r="R42" s="24" t="s">
        <v>33</v>
      </c>
      <c r="S42" s="24" t="s">
        <v>33</v>
      </c>
      <c r="T42" s="24" t="s">
        <v>33</v>
      </c>
      <c r="U42" s="24" t="s">
        <v>33</v>
      </c>
    </row>
    <row r="43">
      <c r="A43" s="13" t="s">
        <v>189</v>
      </c>
      <c r="B43" s="13" t="s">
        <v>190</v>
      </c>
      <c r="C43" s="14">
        <v>8.9997858443E10</v>
      </c>
      <c r="D43" s="13" t="s">
        <v>52</v>
      </c>
      <c r="E43" s="13" t="s">
        <v>191</v>
      </c>
      <c r="F43" s="13" t="s">
        <v>192</v>
      </c>
      <c r="G43" s="13" t="s">
        <v>38</v>
      </c>
      <c r="H43" s="14">
        <v>27.0</v>
      </c>
      <c r="I43" s="14">
        <f t="shared" si="1"/>
        <v>2</v>
      </c>
      <c r="J43" s="13" t="s">
        <v>27</v>
      </c>
      <c r="K43" s="13" t="s">
        <v>48</v>
      </c>
      <c r="L43" s="13" t="s">
        <v>48</v>
      </c>
      <c r="M43" s="13" t="s">
        <v>39</v>
      </c>
      <c r="N43" s="13" t="s">
        <v>40</v>
      </c>
      <c r="O43" s="13" t="s">
        <v>32</v>
      </c>
      <c r="P43" s="24" t="s">
        <v>33</v>
      </c>
      <c r="Q43" s="24" t="s">
        <v>33</v>
      </c>
      <c r="R43" s="24" t="s">
        <v>33</v>
      </c>
      <c r="S43" s="24" t="s">
        <v>33</v>
      </c>
      <c r="T43" s="13"/>
      <c r="U43" s="13"/>
    </row>
    <row r="44">
      <c r="A44" s="13" t="s">
        <v>193</v>
      </c>
      <c r="B44" s="13" t="s">
        <v>194</v>
      </c>
      <c r="C44" s="14">
        <v>8.993562109E10</v>
      </c>
      <c r="D44" s="13" t="s">
        <v>23</v>
      </c>
      <c r="E44" s="13" t="s">
        <v>195</v>
      </c>
      <c r="F44" s="13" t="s">
        <v>196</v>
      </c>
      <c r="G44" s="13" t="s">
        <v>38</v>
      </c>
      <c r="H44" s="14">
        <v>36.0</v>
      </c>
      <c r="I44" s="14">
        <f t="shared" si="1"/>
        <v>3</v>
      </c>
      <c r="J44" s="13" t="s">
        <v>39</v>
      </c>
      <c r="K44" s="13" t="s">
        <v>28</v>
      </c>
      <c r="L44" s="13" t="s">
        <v>27</v>
      </c>
      <c r="M44" s="13" t="s">
        <v>27</v>
      </c>
      <c r="N44" s="13"/>
      <c r="O44" s="13"/>
      <c r="P44" s="24" t="s">
        <v>33</v>
      </c>
      <c r="Q44" s="24" t="s">
        <v>33</v>
      </c>
      <c r="R44" s="13" t="s">
        <v>40</v>
      </c>
      <c r="S44" s="13" t="s">
        <v>32</v>
      </c>
      <c r="T44" s="13" t="s">
        <v>40</v>
      </c>
      <c r="U44" s="13" t="s">
        <v>32</v>
      </c>
    </row>
    <row r="45">
      <c r="A45" s="13" t="s">
        <v>197</v>
      </c>
      <c r="B45" s="20" t="s">
        <v>198</v>
      </c>
      <c r="C45" s="14">
        <v>8.9371400349E10</v>
      </c>
      <c r="D45" s="13" t="s">
        <v>23</v>
      </c>
      <c r="E45" s="13" t="s">
        <v>150</v>
      </c>
      <c r="F45" s="13" t="s">
        <v>199</v>
      </c>
      <c r="G45" s="13" t="s">
        <v>26</v>
      </c>
      <c r="H45" s="14">
        <v>39.0</v>
      </c>
      <c r="I45" s="14">
        <f t="shared" si="1"/>
        <v>3</v>
      </c>
      <c r="J45" s="13" t="s">
        <v>27</v>
      </c>
      <c r="K45" s="13" t="s">
        <v>39</v>
      </c>
      <c r="L45" s="13" t="s">
        <v>39</v>
      </c>
      <c r="M45" s="13" t="s">
        <v>28</v>
      </c>
      <c r="N45" s="13" t="s">
        <v>29</v>
      </c>
      <c r="O45" s="13" t="s">
        <v>30</v>
      </c>
      <c r="P45" s="13"/>
      <c r="Q45" s="13"/>
      <c r="R45" s="13"/>
      <c r="S45" s="13"/>
      <c r="T45" s="24" t="s">
        <v>33</v>
      </c>
      <c r="U45" s="24" t="s">
        <v>33</v>
      </c>
    </row>
    <row r="46">
      <c r="A46" s="13" t="s">
        <v>200</v>
      </c>
      <c r="B46" s="13" t="s">
        <v>201</v>
      </c>
      <c r="C46" s="14">
        <v>8.9198366717E10</v>
      </c>
      <c r="D46" s="13" t="s">
        <v>23</v>
      </c>
      <c r="E46" s="13" t="s">
        <v>202</v>
      </c>
      <c r="F46" s="13" t="s">
        <v>151</v>
      </c>
      <c r="G46" s="13" t="s">
        <v>38</v>
      </c>
      <c r="H46" s="14">
        <v>33.0</v>
      </c>
      <c r="I46" s="14">
        <f t="shared" si="1"/>
        <v>3</v>
      </c>
      <c r="J46" s="13" t="s">
        <v>27</v>
      </c>
      <c r="K46" s="13" t="s">
        <v>28</v>
      </c>
      <c r="L46" s="13" t="s">
        <v>27</v>
      </c>
      <c r="M46" s="13" t="s">
        <v>27</v>
      </c>
      <c r="N46" s="13" t="s">
        <v>29</v>
      </c>
      <c r="O46" s="13" t="s">
        <v>31</v>
      </c>
      <c r="P46" s="24" t="s">
        <v>33</v>
      </c>
      <c r="Q46" s="24" t="s">
        <v>33</v>
      </c>
      <c r="R46" s="13" t="s">
        <v>40</v>
      </c>
      <c r="S46" s="13" t="s">
        <v>32</v>
      </c>
      <c r="T46" s="13" t="s">
        <v>40</v>
      </c>
      <c r="U46" s="13" t="s">
        <v>32</v>
      </c>
    </row>
    <row r="47">
      <c r="A47" s="13" t="s">
        <v>203</v>
      </c>
      <c r="B47" s="13" t="s">
        <v>204</v>
      </c>
      <c r="C47" s="14">
        <v>8.9277422165E10</v>
      </c>
      <c r="D47" s="13" t="s">
        <v>23</v>
      </c>
      <c r="E47" s="13" t="s">
        <v>139</v>
      </c>
      <c r="F47" s="13" t="s">
        <v>139</v>
      </c>
      <c r="G47" s="13" t="s">
        <v>26</v>
      </c>
      <c r="H47" s="14">
        <v>37.0</v>
      </c>
      <c r="I47" s="14">
        <f t="shared" si="1"/>
        <v>3</v>
      </c>
      <c r="J47" s="13" t="s">
        <v>39</v>
      </c>
      <c r="K47" s="13" t="s">
        <v>39</v>
      </c>
      <c r="L47" s="13" t="s">
        <v>48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205</v>
      </c>
      <c r="B48" s="13" t="s">
        <v>206</v>
      </c>
      <c r="C48" s="14">
        <v>8.9930204203E10</v>
      </c>
      <c r="D48" s="13" t="s">
        <v>23</v>
      </c>
      <c r="E48" s="13" t="s">
        <v>207</v>
      </c>
      <c r="F48" s="13" t="s">
        <v>208</v>
      </c>
      <c r="G48" s="13" t="s">
        <v>26</v>
      </c>
      <c r="H48" s="14">
        <v>25.0</v>
      </c>
      <c r="I48" s="14">
        <f t="shared" si="1"/>
        <v>4</v>
      </c>
      <c r="J48" s="13" t="s">
        <v>39</v>
      </c>
      <c r="K48" s="13" t="s">
        <v>39</v>
      </c>
      <c r="L48" s="13" t="s">
        <v>39</v>
      </c>
      <c r="M48" s="13" t="s">
        <v>27</v>
      </c>
      <c r="N48" s="13"/>
      <c r="O48" s="13"/>
      <c r="P48" s="13"/>
      <c r="Q48" s="13"/>
      <c r="R48" s="13"/>
      <c r="S48" s="13"/>
      <c r="T48" s="13" t="s">
        <v>31</v>
      </c>
      <c r="U48" s="13" t="s">
        <v>32</v>
      </c>
    </row>
    <row r="49">
      <c r="A49" s="13" t="s">
        <v>209</v>
      </c>
      <c r="B49" s="18" t="s">
        <v>210</v>
      </c>
      <c r="C49" s="14">
        <v>8.9197329022E10</v>
      </c>
      <c r="D49" s="13" t="s">
        <v>23</v>
      </c>
      <c r="E49" s="13" t="s">
        <v>211</v>
      </c>
      <c r="F49" s="13" t="s">
        <v>212</v>
      </c>
      <c r="G49" s="13" t="s">
        <v>38</v>
      </c>
      <c r="H49" s="14">
        <v>34.0</v>
      </c>
      <c r="I49" s="28">
        <v>4.0</v>
      </c>
      <c r="J49" s="13" t="s">
        <v>27</v>
      </c>
      <c r="K49" s="13" t="s">
        <v>27</v>
      </c>
      <c r="L49" s="13" t="s">
        <v>27</v>
      </c>
      <c r="M49" s="13" t="s">
        <v>27</v>
      </c>
      <c r="N49" s="13" t="s">
        <v>31</v>
      </c>
      <c r="O49" s="13" t="s">
        <v>32</v>
      </c>
      <c r="P49" s="13" t="s">
        <v>40</v>
      </c>
      <c r="Q49" s="13" t="s">
        <v>32</v>
      </c>
      <c r="R49" s="13" t="s">
        <v>29</v>
      </c>
      <c r="S49" s="13" t="s">
        <v>30</v>
      </c>
      <c r="T49" s="13" t="s">
        <v>31</v>
      </c>
      <c r="U49" s="13" t="s">
        <v>32</v>
      </c>
    </row>
    <row r="50">
      <c r="A50" s="13" t="s">
        <v>213</v>
      </c>
      <c r="B50" s="13" t="s">
        <v>214</v>
      </c>
      <c r="C50" s="14">
        <v>8.913010014E10</v>
      </c>
      <c r="D50" s="13" t="s">
        <v>23</v>
      </c>
      <c r="E50" s="13" t="s">
        <v>215</v>
      </c>
      <c r="F50" s="13" t="s">
        <v>215</v>
      </c>
      <c r="G50" s="13" t="s">
        <v>26</v>
      </c>
      <c r="H50" s="14">
        <v>51.0</v>
      </c>
      <c r="I50" s="14">
        <f t="shared" ref="I50:I62" si="2">COUNTIF(J50:M50, "Да")+COUNTIF(J50:M50, "Запас")</f>
        <v>2</v>
      </c>
      <c r="J50" s="13" t="s">
        <v>39</v>
      </c>
      <c r="K50" s="13" t="s">
        <v>27</v>
      </c>
      <c r="L50" s="13" t="s">
        <v>48</v>
      </c>
      <c r="M50" s="13" t="s">
        <v>48</v>
      </c>
      <c r="N50" s="13"/>
      <c r="O50" s="13"/>
      <c r="P50" s="13" t="s">
        <v>40</v>
      </c>
      <c r="Q50" s="13" t="s">
        <v>32</v>
      </c>
      <c r="R50" s="13"/>
      <c r="S50" s="13"/>
      <c r="T50" s="13"/>
      <c r="U50" s="13"/>
    </row>
    <row r="51">
      <c r="A51" s="13" t="s">
        <v>216</v>
      </c>
      <c r="B51" s="13" t="s">
        <v>217</v>
      </c>
      <c r="C51" s="14">
        <v>8.903806837E10</v>
      </c>
      <c r="D51" s="13" t="s">
        <v>23</v>
      </c>
      <c r="E51" s="13" t="s">
        <v>218</v>
      </c>
      <c r="F51" s="13" t="s">
        <v>219</v>
      </c>
      <c r="G51" s="13" t="s">
        <v>38</v>
      </c>
      <c r="H51" s="14">
        <v>43.0</v>
      </c>
      <c r="I51" s="14">
        <f t="shared" si="2"/>
        <v>2</v>
      </c>
      <c r="J51" s="13" t="s">
        <v>28</v>
      </c>
      <c r="K51" s="13" t="s">
        <v>39</v>
      </c>
      <c r="L51" s="13" t="s">
        <v>27</v>
      </c>
      <c r="M51" s="13" t="s">
        <v>28</v>
      </c>
      <c r="N51" s="24" t="s">
        <v>33</v>
      </c>
      <c r="O51" s="24" t="s">
        <v>33</v>
      </c>
      <c r="P51" s="13"/>
      <c r="Q51" s="13"/>
      <c r="R51" s="13" t="s">
        <v>40</v>
      </c>
      <c r="S51" s="13" t="s">
        <v>32</v>
      </c>
      <c r="T51" s="24" t="s">
        <v>33</v>
      </c>
      <c r="U51" s="24" t="s">
        <v>33</v>
      </c>
    </row>
    <row r="52">
      <c r="A52" s="13" t="s">
        <v>220</v>
      </c>
      <c r="B52" s="13" t="s">
        <v>221</v>
      </c>
      <c r="C52" s="14">
        <v>8.9052917856E10</v>
      </c>
      <c r="D52" s="13" t="s">
        <v>23</v>
      </c>
      <c r="E52" s="13" t="s">
        <v>222</v>
      </c>
      <c r="F52" s="13" t="s">
        <v>223</v>
      </c>
      <c r="G52" s="13" t="s">
        <v>26</v>
      </c>
      <c r="H52" s="14">
        <v>39.0</v>
      </c>
      <c r="I52" s="14">
        <f t="shared" si="2"/>
        <v>3</v>
      </c>
      <c r="J52" s="13" t="s">
        <v>27</v>
      </c>
      <c r="K52" s="13" t="s">
        <v>28</v>
      </c>
      <c r="L52" s="13" t="s">
        <v>27</v>
      </c>
      <c r="M52" s="13" t="s">
        <v>39</v>
      </c>
      <c r="N52" s="13" t="s">
        <v>40</v>
      </c>
      <c r="O52" s="13" t="s">
        <v>32</v>
      </c>
      <c r="P52" s="24" t="s">
        <v>33</v>
      </c>
      <c r="Q52" s="24" t="s">
        <v>33</v>
      </c>
      <c r="R52" s="13" t="s">
        <v>40</v>
      </c>
      <c r="S52" s="13" t="s">
        <v>32</v>
      </c>
      <c r="T52" s="13"/>
      <c r="U52" s="13"/>
    </row>
    <row r="53">
      <c r="A53" s="13" t="s">
        <v>224</v>
      </c>
      <c r="B53" s="13" t="s">
        <v>225</v>
      </c>
      <c r="C53" s="14">
        <v>8.9507304422E10</v>
      </c>
      <c r="D53" s="13" t="s">
        <v>52</v>
      </c>
      <c r="E53" s="13" t="s">
        <v>226</v>
      </c>
      <c r="F53" s="13" t="s">
        <v>227</v>
      </c>
      <c r="G53" s="13" t="s">
        <v>38</v>
      </c>
      <c r="H53" s="14">
        <v>46.0</v>
      </c>
      <c r="I53" s="14">
        <f t="shared" si="2"/>
        <v>4</v>
      </c>
      <c r="J53" s="13" t="s">
        <v>39</v>
      </c>
      <c r="K53" s="13" t="s">
        <v>27</v>
      </c>
      <c r="L53" s="13" t="s">
        <v>39</v>
      </c>
      <c r="M53" s="13" t="s">
        <v>39</v>
      </c>
      <c r="N53" s="13"/>
      <c r="O53" s="13"/>
      <c r="P53" s="13" t="s">
        <v>29</v>
      </c>
      <c r="Q53" s="13" t="s">
        <v>31</v>
      </c>
      <c r="R53" s="13"/>
      <c r="S53" s="13"/>
      <c r="T53" s="13"/>
      <c r="U53" s="13"/>
    </row>
    <row r="54">
      <c r="A54" s="13" t="s">
        <v>228</v>
      </c>
      <c r="B54" s="13" t="s">
        <v>229</v>
      </c>
      <c r="C54" s="14">
        <v>8.9092265685E10</v>
      </c>
      <c r="D54" s="13" t="s">
        <v>52</v>
      </c>
      <c r="E54" s="13" t="s">
        <v>230</v>
      </c>
      <c r="F54" s="13" t="s">
        <v>231</v>
      </c>
      <c r="G54" s="13" t="s">
        <v>38</v>
      </c>
      <c r="H54" s="14">
        <v>20.0</v>
      </c>
      <c r="I54" s="14">
        <f t="shared" si="2"/>
        <v>4</v>
      </c>
      <c r="J54" s="13" t="s">
        <v>27</v>
      </c>
      <c r="K54" s="13" t="s">
        <v>39</v>
      </c>
      <c r="L54" s="13" t="s">
        <v>39</v>
      </c>
      <c r="M54" s="13" t="s">
        <v>39</v>
      </c>
      <c r="N54" s="13" t="s">
        <v>31</v>
      </c>
      <c r="O54" s="13" t="s">
        <v>32</v>
      </c>
      <c r="P54" s="13"/>
      <c r="Q54" s="13"/>
      <c r="R54" s="13"/>
      <c r="S54" s="13"/>
      <c r="T54" s="13"/>
      <c r="U54" s="13"/>
    </row>
    <row r="55">
      <c r="A55" s="13" t="s">
        <v>232</v>
      </c>
      <c r="B55" s="20" t="s">
        <v>233</v>
      </c>
      <c r="C55" s="14">
        <v>8.9031792497E10</v>
      </c>
      <c r="D55" s="13" t="s">
        <v>23</v>
      </c>
      <c r="E55" s="13" t="s">
        <v>77</v>
      </c>
      <c r="F55" s="13" t="s">
        <v>77</v>
      </c>
      <c r="G55" s="13" t="s">
        <v>26</v>
      </c>
      <c r="H55" s="14">
        <v>38.0</v>
      </c>
      <c r="I55" s="14">
        <f t="shared" si="2"/>
        <v>3</v>
      </c>
      <c r="J55" s="13" t="s">
        <v>39</v>
      </c>
      <c r="K55" s="13" t="s">
        <v>48</v>
      </c>
      <c r="L55" s="13" t="s">
        <v>27</v>
      </c>
      <c r="M55" s="13" t="s">
        <v>27</v>
      </c>
      <c r="N55" s="24" t="s">
        <v>33</v>
      </c>
      <c r="O55" s="24" t="s">
        <v>33</v>
      </c>
      <c r="P55" s="24" t="s">
        <v>33</v>
      </c>
      <c r="Q55" s="24" t="s">
        <v>33</v>
      </c>
      <c r="R55" s="13" t="s">
        <v>40</v>
      </c>
      <c r="S55" s="13" t="s">
        <v>32</v>
      </c>
      <c r="T55" s="13" t="s">
        <v>40</v>
      </c>
      <c r="U55" s="13" t="s">
        <v>32</v>
      </c>
    </row>
    <row r="56">
      <c r="A56" s="13" t="s">
        <v>234</v>
      </c>
      <c r="B56" s="13" t="s">
        <v>235</v>
      </c>
      <c r="C56" s="14">
        <v>8.9258555361E10</v>
      </c>
      <c r="D56" s="13" t="s">
        <v>23</v>
      </c>
      <c r="E56" s="13" t="s">
        <v>77</v>
      </c>
      <c r="F56" s="13" t="s">
        <v>77</v>
      </c>
      <c r="G56" s="13" t="s">
        <v>38</v>
      </c>
      <c r="H56" s="14">
        <v>44.0</v>
      </c>
      <c r="I56" s="14">
        <f t="shared" si="2"/>
        <v>4</v>
      </c>
      <c r="J56" s="13" t="s">
        <v>39</v>
      </c>
      <c r="K56" s="13" t="s">
        <v>27</v>
      </c>
      <c r="L56" s="13" t="s">
        <v>39</v>
      </c>
      <c r="M56" s="13" t="s">
        <v>39</v>
      </c>
      <c r="N56" s="13"/>
      <c r="O56" s="13"/>
      <c r="P56" s="13" t="s">
        <v>40</v>
      </c>
      <c r="Q56" s="13" t="s">
        <v>32</v>
      </c>
      <c r="R56" s="13"/>
      <c r="S56" s="13"/>
      <c r="T56" s="13"/>
      <c r="U56" s="13"/>
    </row>
    <row r="57">
      <c r="A57" s="13" t="s">
        <v>236</v>
      </c>
      <c r="B57" s="13" t="s">
        <v>237</v>
      </c>
      <c r="C57" s="14">
        <v>8.9266007193E10</v>
      </c>
      <c r="D57" s="13" t="s">
        <v>23</v>
      </c>
      <c r="E57" s="13" t="s">
        <v>77</v>
      </c>
      <c r="F57" s="13" t="s">
        <v>238</v>
      </c>
      <c r="G57" s="13" t="s">
        <v>38</v>
      </c>
      <c r="H57" s="14">
        <v>47.0</v>
      </c>
      <c r="I57" s="14">
        <f t="shared" si="2"/>
        <v>3</v>
      </c>
      <c r="J57" s="13" t="s">
        <v>27</v>
      </c>
      <c r="K57" s="13" t="s">
        <v>27</v>
      </c>
      <c r="L57" s="13" t="s">
        <v>28</v>
      </c>
      <c r="M57" s="13" t="s">
        <v>27</v>
      </c>
      <c r="N57" s="13" t="s">
        <v>29</v>
      </c>
      <c r="O57" s="13" t="s">
        <v>30</v>
      </c>
      <c r="P57" s="13" t="s">
        <v>31</v>
      </c>
      <c r="Q57" s="13" t="s">
        <v>32</v>
      </c>
      <c r="R57" s="24" t="s">
        <v>33</v>
      </c>
      <c r="S57" s="24" t="s">
        <v>33</v>
      </c>
      <c r="T57" s="13" t="s">
        <v>40</v>
      </c>
      <c r="U57" s="13" t="s">
        <v>32</v>
      </c>
    </row>
    <row r="58">
      <c r="A58" s="13" t="s">
        <v>239</v>
      </c>
      <c r="B58" s="20" t="s">
        <v>240</v>
      </c>
      <c r="C58" s="14">
        <v>8.9205844695E10</v>
      </c>
      <c r="D58" s="13" t="s">
        <v>23</v>
      </c>
      <c r="E58" s="13" t="s">
        <v>241</v>
      </c>
      <c r="F58" s="13" t="s">
        <v>242</v>
      </c>
      <c r="G58" s="13" t="s">
        <v>26</v>
      </c>
      <c r="H58" s="14">
        <v>35.0</v>
      </c>
      <c r="I58" s="14">
        <f t="shared" si="2"/>
        <v>2</v>
      </c>
      <c r="J58" s="13" t="s">
        <v>39</v>
      </c>
      <c r="K58" s="13" t="s">
        <v>27</v>
      </c>
      <c r="L58" s="13" t="s">
        <v>48</v>
      </c>
      <c r="M58" s="13" t="s">
        <v>48</v>
      </c>
      <c r="N58" s="13"/>
      <c r="O58" s="13"/>
      <c r="P58" s="13" t="s">
        <v>29</v>
      </c>
      <c r="Q58" s="13" t="s">
        <v>30</v>
      </c>
      <c r="R58" s="13"/>
      <c r="S58" s="13"/>
      <c r="T58" s="13"/>
      <c r="U58" s="13"/>
    </row>
    <row r="59">
      <c r="A59" s="13" t="s">
        <v>243</v>
      </c>
      <c r="B59" s="20" t="s">
        <v>244</v>
      </c>
      <c r="C59" s="14">
        <v>8.9616748559E10</v>
      </c>
      <c r="D59" s="13" t="s">
        <v>52</v>
      </c>
      <c r="E59" s="13" t="s">
        <v>187</v>
      </c>
      <c r="F59" s="13" t="s">
        <v>245</v>
      </c>
      <c r="G59" s="13" t="s">
        <v>26</v>
      </c>
      <c r="H59" s="14">
        <v>25.0</v>
      </c>
      <c r="I59" s="14">
        <f t="shared" si="2"/>
        <v>3</v>
      </c>
      <c r="J59" s="13" t="s">
        <v>39</v>
      </c>
      <c r="K59" s="13" t="s">
        <v>48</v>
      </c>
      <c r="L59" s="13" t="s">
        <v>27</v>
      </c>
      <c r="M59" s="13" t="s">
        <v>27</v>
      </c>
      <c r="N59" s="13"/>
      <c r="O59" s="13"/>
      <c r="P59" s="24" t="s">
        <v>33</v>
      </c>
      <c r="Q59" s="24" t="s">
        <v>33</v>
      </c>
      <c r="R59" s="13" t="s">
        <v>31</v>
      </c>
      <c r="S59" s="13" t="s">
        <v>32</v>
      </c>
      <c r="T59" s="13" t="s">
        <v>29</v>
      </c>
      <c r="U59" s="13" t="s">
        <v>31</v>
      </c>
    </row>
    <row r="60">
      <c r="A60" s="13" t="s">
        <v>246</v>
      </c>
      <c r="B60" s="13" t="s">
        <v>247</v>
      </c>
      <c r="C60" s="14">
        <v>8.9279007996E10</v>
      </c>
      <c r="D60" s="13" t="s">
        <v>23</v>
      </c>
      <c r="E60" s="13" t="s">
        <v>248</v>
      </c>
      <c r="F60" s="13" t="s">
        <v>249</v>
      </c>
      <c r="G60" s="13" t="s">
        <v>26</v>
      </c>
      <c r="H60" s="14">
        <v>37.0</v>
      </c>
      <c r="I60" s="14">
        <f t="shared" si="2"/>
        <v>4</v>
      </c>
      <c r="J60" s="13" t="s">
        <v>39</v>
      </c>
      <c r="K60" s="13" t="s">
        <v>39</v>
      </c>
      <c r="L60" s="13" t="s">
        <v>39</v>
      </c>
      <c r="M60" s="13" t="s">
        <v>27</v>
      </c>
      <c r="N60" s="13"/>
      <c r="O60" s="13"/>
      <c r="P60" s="13"/>
      <c r="Q60" s="13"/>
      <c r="R60" s="13"/>
      <c r="S60" s="13"/>
      <c r="T60" s="13" t="s">
        <v>31</v>
      </c>
      <c r="U60" s="13" t="s">
        <v>32</v>
      </c>
    </row>
    <row r="61">
      <c r="A61" s="13" t="s">
        <v>250</v>
      </c>
      <c r="B61" s="13" t="s">
        <v>251</v>
      </c>
      <c r="C61" s="14">
        <v>8.9202209701E10</v>
      </c>
      <c r="D61" s="13" t="s">
        <v>52</v>
      </c>
      <c r="E61" s="13" t="s">
        <v>120</v>
      </c>
      <c r="F61" s="13" t="s">
        <v>117</v>
      </c>
      <c r="G61" s="13" t="s">
        <v>26</v>
      </c>
      <c r="H61" s="14">
        <v>28.0</v>
      </c>
      <c r="I61" s="14">
        <f t="shared" si="2"/>
        <v>4</v>
      </c>
      <c r="J61" s="13" t="s">
        <v>27</v>
      </c>
      <c r="K61" s="13" t="s">
        <v>27</v>
      </c>
      <c r="L61" s="13" t="s">
        <v>27</v>
      </c>
      <c r="M61" s="13" t="s">
        <v>27</v>
      </c>
      <c r="N61" s="13" t="s">
        <v>31</v>
      </c>
      <c r="O61" s="13" t="s">
        <v>32</v>
      </c>
      <c r="P61" s="13" t="s">
        <v>40</v>
      </c>
      <c r="Q61" s="13" t="s">
        <v>32</v>
      </c>
      <c r="R61" s="13" t="s">
        <v>31</v>
      </c>
      <c r="S61" s="13" t="s">
        <v>32</v>
      </c>
      <c r="T61" s="13" t="s">
        <v>29</v>
      </c>
      <c r="U61" s="13" t="s">
        <v>31</v>
      </c>
    </row>
    <row r="62">
      <c r="A62" s="13" t="s">
        <v>252</v>
      </c>
      <c r="B62" s="13" t="s">
        <v>253</v>
      </c>
      <c r="C62" s="14">
        <v>8.9538619255E10</v>
      </c>
      <c r="D62" s="13" t="s">
        <v>23</v>
      </c>
      <c r="E62" s="13" t="s">
        <v>254</v>
      </c>
      <c r="F62" s="13" t="s">
        <v>208</v>
      </c>
      <c r="G62" s="13" t="s">
        <v>26</v>
      </c>
      <c r="H62" s="14">
        <v>19.0</v>
      </c>
      <c r="I62" s="14">
        <f t="shared" si="2"/>
        <v>2</v>
      </c>
      <c r="J62" s="13" t="s">
        <v>48</v>
      </c>
      <c r="K62" s="13" t="s">
        <v>39</v>
      </c>
      <c r="L62" s="13" t="s">
        <v>27</v>
      </c>
      <c r="M62" s="13" t="s">
        <v>48</v>
      </c>
      <c r="N62" s="24" t="s">
        <v>33</v>
      </c>
      <c r="O62" s="24" t="s">
        <v>33</v>
      </c>
      <c r="P62" s="13"/>
      <c r="Q62" s="13"/>
      <c r="R62" s="13" t="s">
        <v>40</v>
      </c>
      <c r="S62" s="13" t="s">
        <v>32</v>
      </c>
      <c r="T62" s="24" t="s">
        <v>33</v>
      </c>
      <c r="U62" s="24" t="s">
        <v>33</v>
      </c>
    </row>
    <row r="63">
      <c r="A63" s="13" t="s">
        <v>255</v>
      </c>
      <c r="B63" s="13" t="s">
        <v>256</v>
      </c>
      <c r="C63" s="14">
        <v>8.9819760959E10</v>
      </c>
      <c r="D63" s="13" t="s">
        <v>23</v>
      </c>
      <c r="E63" s="13" t="s">
        <v>147</v>
      </c>
      <c r="F63" s="13" t="s">
        <v>147</v>
      </c>
      <c r="G63" s="13" t="s">
        <v>26</v>
      </c>
      <c r="H63" s="14">
        <v>51.0</v>
      </c>
      <c r="I63" s="27">
        <v>4.0</v>
      </c>
      <c r="J63" s="13" t="s">
        <v>27</v>
      </c>
      <c r="K63" s="13" t="s">
        <v>27</v>
      </c>
      <c r="L63" s="13" t="s">
        <v>39</v>
      </c>
      <c r="M63" s="13" t="s">
        <v>27</v>
      </c>
      <c r="N63" s="13" t="s">
        <v>40</v>
      </c>
      <c r="O63" s="13" t="s">
        <v>32</v>
      </c>
      <c r="P63" s="13" t="s">
        <v>40</v>
      </c>
      <c r="Q63" s="13" t="s">
        <v>32</v>
      </c>
      <c r="R63" s="24" t="s">
        <v>33</v>
      </c>
      <c r="S63" s="24" t="s">
        <v>33</v>
      </c>
      <c r="T63" s="13" t="s">
        <v>29</v>
      </c>
      <c r="U63" s="13" t="s">
        <v>30</v>
      </c>
    </row>
    <row r="64">
      <c r="A64" s="13" t="s">
        <v>257</v>
      </c>
      <c r="B64" s="20" t="s">
        <v>258</v>
      </c>
      <c r="C64" s="14">
        <v>8.9151088299E10</v>
      </c>
      <c r="D64" s="13" t="s">
        <v>52</v>
      </c>
      <c r="E64" s="13" t="s">
        <v>76</v>
      </c>
      <c r="F64" s="13" t="s">
        <v>76</v>
      </c>
      <c r="G64" s="13" t="s">
        <v>26</v>
      </c>
      <c r="H64" s="14">
        <v>29.0</v>
      </c>
      <c r="I64" s="14">
        <f t="shared" ref="I64:I114" si="3">COUNTIF(J64:M64, "Да")+COUNTIF(J64:M64, "Запас")</f>
        <v>3</v>
      </c>
      <c r="J64" s="13" t="s">
        <v>39</v>
      </c>
      <c r="K64" s="13" t="s">
        <v>27</v>
      </c>
      <c r="L64" s="13" t="s">
        <v>39</v>
      </c>
      <c r="M64" s="13" t="s">
        <v>28</v>
      </c>
      <c r="N64" s="13"/>
      <c r="O64" s="13"/>
      <c r="P64" s="13" t="s">
        <v>29</v>
      </c>
      <c r="Q64" s="13" t="s">
        <v>31</v>
      </c>
      <c r="R64" s="13"/>
      <c r="S64" s="13"/>
      <c r="T64" s="24" t="s">
        <v>33</v>
      </c>
      <c r="U64" s="24" t="s">
        <v>33</v>
      </c>
    </row>
    <row r="65">
      <c r="A65" s="13" t="s">
        <v>259</v>
      </c>
      <c r="B65" s="20" t="s">
        <v>260</v>
      </c>
      <c r="C65" s="14">
        <v>8.985992443E10</v>
      </c>
      <c r="D65" s="13" t="s">
        <v>52</v>
      </c>
      <c r="E65" s="13" t="s">
        <v>77</v>
      </c>
      <c r="F65" s="13" t="s">
        <v>77</v>
      </c>
      <c r="G65" s="13" t="s">
        <v>26</v>
      </c>
      <c r="H65" s="14">
        <v>40.0</v>
      </c>
      <c r="I65" s="14">
        <f t="shared" si="3"/>
        <v>2</v>
      </c>
      <c r="J65" s="13" t="s">
        <v>27</v>
      </c>
      <c r="K65" s="13" t="s">
        <v>27</v>
      </c>
      <c r="L65" s="13" t="s">
        <v>28</v>
      </c>
      <c r="M65" s="13" t="s">
        <v>28</v>
      </c>
      <c r="N65" s="13" t="s">
        <v>29</v>
      </c>
      <c r="O65" s="13" t="s">
        <v>30</v>
      </c>
      <c r="P65" s="13" t="s">
        <v>29</v>
      </c>
      <c r="Q65" s="13" t="s">
        <v>30</v>
      </c>
      <c r="R65" s="24" t="s">
        <v>33</v>
      </c>
      <c r="S65" s="24" t="s">
        <v>33</v>
      </c>
      <c r="T65" s="24" t="s">
        <v>33</v>
      </c>
      <c r="U65" s="24" t="s">
        <v>33</v>
      </c>
    </row>
    <row r="66">
      <c r="A66" s="13" t="s">
        <v>261</v>
      </c>
      <c r="B66" s="13" t="s">
        <v>262</v>
      </c>
      <c r="C66" s="14">
        <v>8.926124638E10</v>
      </c>
      <c r="D66" s="13" t="s">
        <v>23</v>
      </c>
      <c r="E66" s="13" t="s">
        <v>263</v>
      </c>
      <c r="F66" s="13" t="s">
        <v>264</v>
      </c>
      <c r="G66" s="13" t="s">
        <v>26</v>
      </c>
      <c r="H66" s="14">
        <v>55.0</v>
      </c>
      <c r="I66" s="14">
        <f t="shared" si="3"/>
        <v>3</v>
      </c>
      <c r="J66" s="13" t="s">
        <v>27</v>
      </c>
      <c r="K66" s="13" t="s">
        <v>39</v>
      </c>
      <c r="L66" s="13" t="s">
        <v>39</v>
      </c>
      <c r="M66" s="13" t="s">
        <v>48</v>
      </c>
      <c r="N66" s="13" t="s">
        <v>31</v>
      </c>
      <c r="O66" s="13" t="s">
        <v>32</v>
      </c>
      <c r="P66" s="13"/>
      <c r="Q66" s="13"/>
      <c r="R66" s="13"/>
      <c r="S66" s="13"/>
      <c r="T66" s="24" t="s">
        <v>33</v>
      </c>
      <c r="U66" s="24" t="s">
        <v>33</v>
      </c>
    </row>
    <row r="67">
      <c r="A67" s="13" t="s">
        <v>265</v>
      </c>
      <c r="B67" s="13" t="s">
        <v>266</v>
      </c>
      <c r="C67" s="14">
        <v>8.9919333296E10</v>
      </c>
      <c r="D67" s="13" t="s">
        <v>23</v>
      </c>
      <c r="E67" s="13" t="s">
        <v>77</v>
      </c>
      <c r="F67" s="13" t="s">
        <v>77</v>
      </c>
      <c r="G67" s="13" t="s">
        <v>26</v>
      </c>
      <c r="H67" s="14">
        <v>40.0</v>
      </c>
      <c r="I67" s="14">
        <f t="shared" si="3"/>
        <v>3</v>
      </c>
      <c r="J67" s="13" t="s">
        <v>27</v>
      </c>
      <c r="K67" s="13" t="s">
        <v>27</v>
      </c>
      <c r="L67" s="13" t="s">
        <v>48</v>
      </c>
      <c r="M67" s="13" t="s">
        <v>27</v>
      </c>
      <c r="N67" s="13" t="s">
        <v>40</v>
      </c>
      <c r="O67" s="13" t="s">
        <v>32</v>
      </c>
      <c r="P67" s="13" t="s">
        <v>31</v>
      </c>
      <c r="Q67" s="13" t="s">
        <v>32</v>
      </c>
      <c r="R67" s="24" t="s">
        <v>33</v>
      </c>
      <c r="S67" s="24" t="s">
        <v>33</v>
      </c>
      <c r="T67" s="13" t="s">
        <v>29</v>
      </c>
      <c r="U67" s="13" t="s">
        <v>30</v>
      </c>
    </row>
    <row r="68">
      <c r="A68" s="13" t="s">
        <v>267</v>
      </c>
      <c r="B68" s="13" t="s">
        <v>268</v>
      </c>
      <c r="C68" s="14">
        <v>8.9251702749E10</v>
      </c>
      <c r="D68" s="13" t="s">
        <v>23</v>
      </c>
      <c r="E68" s="13" t="s">
        <v>76</v>
      </c>
      <c r="F68" s="13" t="s">
        <v>76</v>
      </c>
      <c r="G68" s="13" t="s">
        <v>38</v>
      </c>
      <c r="H68" s="14">
        <v>39.0</v>
      </c>
      <c r="I68" s="14">
        <f t="shared" si="3"/>
        <v>3</v>
      </c>
      <c r="J68" s="13" t="s">
        <v>39</v>
      </c>
      <c r="K68" s="13" t="s">
        <v>28</v>
      </c>
      <c r="L68" s="13" t="s">
        <v>27</v>
      </c>
      <c r="M68" s="13" t="s">
        <v>27</v>
      </c>
      <c r="N68" s="13"/>
      <c r="O68" s="13"/>
      <c r="P68" s="24" t="s">
        <v>33</v>
      </c>
      <c r="Q68" s="24" t="s">
        <v>33</v>
      </c>
      <c r="R68" s="13" t="s">
        <v>40</v>
      </c>
      <c r="S68" s="13" t="s">
        <v>32</v>
      </c>
      <c r="T68" s="13" t="s">
        <v>40</v>
      </c>
      <c r="U68" s="13" t="s">
        <v>32</v>
      </c>
    </row>
    <row r="69">
      <c r="A69" s="13" t="s">
        <v>269</v>
      </c>
      <c r="B69" s="13" t="s">
        <v>270</v>
      </c>
      <c r="C69" s="14">
        <v>8.9130729982E10</v>
      </c>
      <c r="D69" s="13" t="s">
        <v>23</v>
      </c>
      <c r="E69" s="13" t="s">
        <v>271</v>
      </c>
      <c r="F69" s="13" t="s">
        <v>272</v>
      </c>
      <c r="G69" s="13" t="s">
        <v>38</v>
      </c>
      <c r="H69" s="14">
        <v>49.0</v>
      </c>
      <c r="I69" s="14">
        <f t="shared" si="3"/>
        <v>3</v>
      </c>
      <c r="J69" s="13" t="s">
        <v>39</v>
      </c>
      <c r="K69" s="13" t="s">
        <v>27</v>
      </c>
      <c r="L69" s="13" t="s">
        <v>48</v>
      </c>
      <c r="M69" s="13" t="s">
        <v>27</v>
      </c>
      <c r="N69" s="13"/>
      <c r="O69" s="13"/>
      <c r="P69" s="13" t="s">
        <v>40</v>
      </c>
      <c r="Q69" s="27" t="s">
        <v>31</v>
      </c>
      <c r="R69" s="13"/>
      <c r="S69" s="13"/>
      <c r="T69" s="13" t="s">
        <v>29</v>
      </c>
      <c r="U69" s="13" t="s">
        <v>30</v>
      </c>
    </row>
    <row r="70">
      <c r="A70" s="13" t="s">
        <v>273</v>
      </c>
      <c r="B70" s="13" t="s">
        <v>274</v>
      </c>
      <c r="C70" s="14">
        <v>8.9132640662E10</v>
      </c>
      <c r="D70" s="13" t="s">
        <v>23</v>
      </c>
      <c r="E70" s="13" t="s">
        <v>275</v>
      </c>
      <c r="F70" s="13" t="s">
        <v>276</v>
      </c>
      <c r="G70" s="13" t="s">
        <v>38</v>
      </c>
      <c r="H70" s="14">
        <v>36.0</v>
      </c>
      <c r="I70" s="14">
        <f t="shared" si="3"/>
        <v>2</v>
      </c>
      <c r="J70" s="13" t="s">
        <v>27</v>
      </c>
      <c r="K70" s="13" t="s">
        <v>27</v>
      </c>
      <c r="L70" s="13" t="s">
        <v>28</v>
      </c>
      <c r="M70" s="13" t="s">
        <v>28</v>
      </c>
      <c r="N70" s="13" t="s">
        <v>29</v>
      </c>
      <c r="O70" s="13" t="s">
        <v>30</v>
      </c>
      <c r="P70" s="13"/>
      <c r="Q70" s="13"/>
      <c r="R70" s="24" t="s">
        <v>33</v>
      </c>
      <c r="S70" s="24" t="s">
        <v>33</v>
      </c>
      <c r="T70" s="24" t="s">
        <v>33</v>
      </c>
      <c r="U70" s="24" t="s">
        <v>33</v>
      </c>
    </row>
    <row r="71">
      <c r="A71" s="13" t="s">
        <v>277</v>
      </c>
      <c r="B71" s="20" t="s">
        <v>278</v>
      </c>
      <c r="C71" s="14">
        <v>8.9247517592E10</v>
      </c>
      <c r="D71" s="13" t="s">
        <v>23</v>
      </c>
      <c r="E71" s="13" t="s">
        <v>279</v>
      </c>
      <c r="F71" s="13" t="s">
        <v>280</v>
      </c>
      <c r="G71" s="13" t="s">
        <v>26</v>
      </c>
      <c r="H71" s="14">
        <v>27.0</v>
      </c>
      <c r="I71" s="14">
        <f t="shared" si="3"/>
        <v>2</v>
      </c>
      <c r="J71" s="13" t="s">
        <v>27</v>
      </c>
      <c r="K71" s="13" t="s">
        <v>28</v>
      </c>
      <c r="L71" s="13" t="s">
        <v>39</v>
      </c>
      <c r="M71" s="13" t="s">
        <v>28</v>
      </c>
      <c r="N71" s="13" t="s">
        <v>29</v>
      </c>
      <c r="O71" s="13" t="s">
        <v>30</v>
      </c>
      <c r="P71" s="24" t="s">
        <v>33</v>
      </c>
      <c r="Q71" s="24" t="s">
        <v>33</v>
      </c>
      <c r="R71" s="13"/>
      <c r="S71" s="13"/>
      <c r="T71" s="24" t="s">
        <v>33</v>
      </c>
      <c r="U71" s="24" t="s">
        <v>33</v>
      </c>
    </row>
    <row r="72">
      <c r="A72" s="13" t="s">
        <v>281</v>
      </c>
      <c r="B72" s="13" t="s">
        <v>282</v>
      </c>
      <c r="C72" s="14">
        <v>8.964479124E10</v>
      </c>
      <c r="D72" s="13" t="s">
        <v>52</v>
      </c>
      <c r="E72" s="13" t="s">
        <v>283</v>
      </c>
      <c r="F72" s="13" t="s">
        <v>147</v>
      </c>
      <c r="G72" s="13" t="s">
        <v>26</v>
      </c>
      <c r="H72" s="14">
        <v>46.0</v>
      </c>
      <c r="I72" s="14">
        <f t="shared" si="3"/>
        <v>4</v>
      </c>
      <c r="J72" s="13" t="s">
        <v>39</v>
      </c>
      <c r="K72" s="13" t="s">
        <v>27</v>
      </c>
      <c r="L72" s="13" t="s">
        <v>27</v>
      </c>
      <c r="M72" s="13" t="s">
        <v>27</v>
      </c>
      <c r="N72" s="24" t="s">
        <v>33</v>
      </c>
      <c r="O72" s="24" t="s">
        <v>33</v>
      </c>
      <c r="P72" s="13" t="s">
        <v>40</v>
      </c>
      <c r="Q72" s="13" t="s">
        <v>32</v>
      </c>
      <c r="R72" s="13" t="s">
        <v>29</v>
      </c>
      <c r="S72" s="13" t="s">
        <v>31</v>
      </c>
      <c r="T72" s="13" t="s">
        <v>40</v>
      </c>
      <c r="U72" s="13" t="s">
        <v>32</v>
      </c>
    </row>
    <row r="73">
      <c r="A73" s="13" t="s">
        <v>284</v>
      </c>
      <c r="B73" s="20" t="s">
        <v>285</v>
      </c>
      <c r="C73" s="14">
        <v>8.9112770365E10</v>
      </c>
      <c r="D73" s="13" t="s">
        <v>23</v>
      </c>
      <c r="E73" s="13" t="s">
        <v>164</v>
      </c>
      <c r="F73" s="13" t="s">
        <v>164</v>
      </c>
      <c r="G73" s="13" t="s">
        <v>26</v>
      </c>
      <c r="H73" s="14">
        <v>41.0</v>
      </c>
      <c r="I73" s="14">
        <f t="shared" si="3"/>
        <v>2</v>
      </c>
      <c r="J73" s="13" t="s">
        <v>39</v>
      </c>
      <c r="K73" s="13" t="s">
        <v>48</v>
      </c>
      <c r="L73" s="13" t="s">
        <v>27</v>
      </c>
      <c r="M73" s="13" t="s">
        <v>48</v>
      </c>
      <c r="N73" s="13"/>
      <c r="O73" s="13"/>
      <c r="P73" s="24" t="s">
        <v>33</v>
      </c>
      <c r="Q73" s="24" t="s">
        <v>33</v>
      </c>
      <c r="R73" s="13" t="s">
        <v>31</v>
      </c>
      <c r="S73" s="13" t="s">
        <v>32</v>
      </c>
      <c r="T73" s="24" t="s">
        <v>33</v>
      </c>
      <c r="U73" s="24" t="s">
        <v>33</v>
      </c>
    </row>
    <row r="74">
      <c r="A74" s="13" t="s">
        <v>286</v>
      </c>
      <c r="B74" s="20" t="s">
        <v>287</v>
      </c>
      <c r="C74" s="14">
        <v>8.9687946825E10</v>
      </c>
      <c r="D74" s="13" t="s">
        <v>23</v>
      </c>
      <c r="E74" s="13" t="s">
        <v>288</v>
      </c>
      <c r="F74" s="13" t="s">
        <v>147</v>
      </c>
      <c r="G74" s="13" t="s">
        <v>26</v>
      </c>
      <c r="H74" s="14">
        <v>39.0</v>
      </c>
      <c r="I74" s="14">
        <f t="shared" si="3"/>
        <v>3</v>
      </c>
      <c r="J74" s="13" t="s">
        <v>27</v>
      </c>
      <c r="K74" s="13" t="s">
        <v>27</v>
      </c>
      <c r="L74" s="13" t="s">
        <v>39</v>
      </c>
      <c r="M74" s="13" t="s">
        <v>28</v>
      </c>
      <c r="N74" s="13" t="s">
        <v>29</v>
      </c>
      <c r="O74" s="13" t="s">
        <v>30</v>
      </c>
      <c r="P74" s="13" t="s">
        <v>29</v>
      </c>
      <c r="Q74" s="13" t="s">
        <v>30</v>
      </c>
      <c r="R74" s="13"/>
      <c r="S74" s="13"/>
      <c r="T74" s="24" t="s">
        <v>33</v>
      </c>
      <c r="U74" s="24" t="s">
        <v>33</v>
      </c>
    </row>
    <row r="75">
      <c r="A75" s="13" t="s">
        <v>289</v>
      </c>
      <c r="B75" s="13" t="s">
        <v>290</v>
      </c>
      <c r="C75" s="14">
        <v>8.9527350033E10</v>
      </c>
      <c r="D75" s="13" t="s">
        <v>23</v>
      </c>
      <c r="E75" s="13" t="s">
        <v>291</v>
      </c>
      <c r="F75" s="13" t="s">
        <v>292</v>
      </c>
      <c r="G75" s="13" t="s">
        <v>38</v>
      </c>
      <c r="H75" s="14">
        <v>32.0</v>
      </c>
      <c r="I75" s="14">
        <f t="shared" si="3"/>
        <v>3</v>
      </c>
      <c r="J75" s="13" t="s">
        <v>27</v>
      </c>
      <c r="K75" s="13" t="s">
        <v>27</v>
      </c>
      <c r="L75" s="13" t="s">
        <v>27</v>
      </c>
      <c r="M75" s="13" t="s">
        <v>48</v>
      </c>
      <c r="N75" s="13" t="s">
        <v>40</v>
      </c>
      <c r="O75" s="13" t="s">
        <v>32</v>
      </c>
      <c r="P75" s="13" t="s">
        <v>40</v>
      </c>
      <c r="Q75" s="13" t="s">
        <v>32</v>
      </c>
      <c r="R75" s="13" t="s">
        <v>29</v>
      </c>
      <c r="S75" s="13" t="s">
        <v>30</v>
      </c>
      <c r="T75" s="24" t="s">
        <v>33</v>
      </c>
      <c r="U75" s="24" t="s">
        <v>33</v>
      </c>
    </row>
    <row r="76">
      <c r="A76" s="13" t="s">
        <v>293</v>
      </c>
      <c r="B76" s="13" t="s">
        <v>294</v>
      </c>
      <c r="C76" s="14">
        <v>8.9785537466E10</v>
      </c>
      <c r="D76" s="13" t="s">
        <v>23</v>
      </c>
      <c r="E76" s="13" t="s">
        <v>295</v>
      </c>
      <c r="F76" s="13" t="s">
        <v>296</v>
      </c>
      <c r="G76" s="13" t="s">
        <v>38</v>
      </c>
      <c r="H76" s="14">
        <v>29.0</v>
      </c>
      <c r="I76" s="14">
        <f t="shared" si="3"/>
        <v>2</v>
      </c>
      <c r="J76" s="13" t="s">
        <v>39</v>
      </c>
      <c r="K76" s="13" t="s">
        <v>28</v>
      </c>
      <c r="L76" s="13" t="s">
        <v>27</v>
      </c>
      <c r="M76" s="13" t="s">
        <v>28</v>
      </c>
      <c r="N76" s="13"/>
      <c r="O76" s="13"/>
      <c r="P76" s="24" t="s">
        <v>33</v>
      </c>
      <c r="Q76" s="24" t="s">
        <v>33</v>
      </c>
      <c r="R76" s="13" t="s">
        <v>40</v>
      </c>
      <c r="S76" s="13" t="s">
        <v>32</v>
      </c>
      <c r="T76" s="24" t="s">
        <v>33</v>
      </c>
      <c r="U76" s="24" t="s">
        <v>33</v>
      </c>
    </row>
    <row r="77">
      <c r="A77" s="13" t="s">
        <v>297</v>
      </c>
      <c r="B77" s="13" t="s">
        <v>298</v>
      </c>
      <c r="C77" s="14">
        <v>8.9179331863E10</v>
      </c>
      <c r="D77" s="13" t="s">
        <v>23</v>
      </c>
      <c r="E77" s="13" t="s">
        <v>299</v>
      </c>
      <c r="F77" s="13" t="s">
        <v>300</v>
      </c>
      <c r="G77" s="13" t="s">
        <v>26</v>
      </c>
      <c r="H77" s="14">
        <v>37.0</v>
      </c>
      <c r="I77" s="14">
        <f t="shared" si="3"/>
        <v>3</v>
      </c>
      <c r="J77" s="13" t="s">
        <v>27</v>
      </c>
      <c r="K77" s="13" t="s">
        <v>27</v>
      </c>
      <c r="L77" s="13" t="s">
        <v>28</v>
      </c>
      <c r="M77" s="13" t="s">
        <v>27</v>
      </c>
      <c r="N77" s="13" t="s">
        <v>40</v>
      </c>
      <c r="O77" s="13" t="s">
        <v>32</v>
      </c>
      <c r="P77" s="13" t="s">
        <v>29</v>
      </c>
      <c r="Q77" s="13" t="s">
        <v>30</v>
      </c>
      <c r="R77" s="24" t="s">
        <v>33</v>
      </c>
      <c r="S77" s="24" t="s">
        <v>33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8.981918381E10</v>
      </c>
      <c r="D78" s="13" t="s">
        <v>52</v>
      </c>
      <c r="E78" s="13" t="s">
        <v>164</v>
      </c>
      <c r="F78" s="13" t="s">
        <v>164</v>
      </c>
      <c r="G78" s="13" t="s">
        <v>26</v>
      </c>
      <c r="H78" s="14">
        <v>27.0</v>
      </c>
      <c r="I78" s="14">
        <f t="shared" si="3"/>
        <v>4</v>
      </c>
      <c r="J78" s="13" t="s">
        <v>27</v>
      </c>
      <c r="K78" s="13" t="s">
        <v>27</v>
      </c>
      <c r="L78" s="13" t="s">
        <v>27</v>
      </c>
      <c r="M78" s="13" t="s">
        <v>27</v>
      </c>
      <c r="N78" s="13" t="s">
        <v>40</v>
      </c>
      <c r="O78" s="13" t="s">
        <v>32</v>
      </c>
      <c r="P78" s="13" t="s">
        <v>40</v>
      </c>
      <c r="Q78" s="13" t="s">
        <v>32</v>
      </c>
      <c r="R78" s="13" t="s">
        <v>40</v>
      </c>
      <c r="S78" s="13" t="s">
        <v>32</v>
      </c>
      <c r="T78" s="13" t="s">
        <v>40</v>
      </c>
      <c r="U78" s="13" t="s">
        <v>32</v>
      </c>
    </row>
    <row r="79">
      <c r="A79" s="13" t="s">
        <v>303</v>
      </c>
      <c r="B79" s="13" t="s">
        <v>304</v>
      </c>
      <c r="C79" s="14">
        <v>8.9035574055E10</v>
      </c>
      <c r="D79" s="13" t="s">
        <v>23</v>
      </c>
      <c r="E79" s="13" t="s">
        <v>77</v>
      </c>
      <c r="F79" s="13" t="s">
        <v>77</v>
      </c>
      <c r="G79" s="13" t="s">
        <v>38</v>
      </c>
      <c r="H79" s="14">
        <v>39.0</v>
      </c>
      <c r="I79" s="14">
        <f t="shared" si="3"/>
        <v>2</v>
      </c>
      <c r="J79" s="13" t="s">
        <v>48</v>
      </c>
      <c r="K79" s="13" t="s">
        <v>48</v>
      </c>
      <c r="L79" s="13" t="s">
        <v>27</v>
      </c>
      <c r="M79" s="13" t="s">
        <v>27</v>
      </c>
      <c r="N79" s="24" t="s">
        <v>33</v>
      </c>
      <c r="O79" s="24" t="s">
        <v>33</v>
      </c>
      <c r="P79" s="24" t="s">
        <v>33</v>
      </c>
      <c r="Q79" s="24" t="s">
        <v>33</v>
      </c>
      <c r="R79" s="13" t="s">
        <v>31</v>
      </c>
      <c r="S79" s="13" t="s">
        <v>32</v>
      </c>
      <c r="T79" s="13" t="s">
        <v>29</v>
      </c>
      <c r="U79" s="13" t="s">
        <v>31</v>
      </c>
    </row>
    <row r="80">
      <c r="A80" s="13" t="s">
        <v>305</v>
      </c>
      <c r="B80" s="13" t="s">
        <v>306</v>
      </c>
      <c r="C80" s="14">
        <v>8.9997059291E10</v>
      </c>
      <c r="D80" s="13" t="s">
        <v>52</v>
      </c>
      <c r="E80" s="13" t="s">
        <v>230</v>
      </c>
      <c r="F80" s="13" t="s">
        <v>307</v>
      </c>
      <c r="G80" s="13" t="s">
        <v>26</v>
      </c>
      <c r="H80" s="14">
        <v>21.0</v>
      </c>
      <c r="I80" s="14">
        <f t="shared" si="3"/>
        <v>3</v>
      </c>
      <c r="J80" s="13" t="s">
        <v>39</v>
      </c>
      <c r="K80" s="13" t="s">
        <v>27</v>
      </c>
      <c r="L80" s="13" t="s">
        <v>27</v>
      </c>
      <c r="M80" s="13" t="s">
        <v>28</v>
      </c>
      <c r="N80" s="24" t="s">
        <v>33</v>
      </c>
      <c r="O80" s="24" t="s">
        <v>33</v>
      </c>
      <c r="P80" s="13" t="s">
        <v>29</v>
      </c>
      <c r="Q80" s="13" t="s">
        <v>30</v>
      </c>
      <c r="R80" s="13" t="s">
        <v>29</v>
      </c>
      <c r="S80" s="13" t="s">
        <v>31</v>
      </c>
      <c r="T80" s="24" t="s">
        <v>33</v>
      </c>
      <c r="U80" s="24" t="s">
        <v>33</v>
      </c>
    </row>
    <row r="81">
      <c r="A81" s="13" t="s">
        <v>308</v>
      </c>
      <c r="B81" s="13" t="s">
        <v>309</v>
      </c>
      <c r="C81" s="14">
        <v>8.9998421148E10</v>
      </c>
      <c r="D81" s="13" t="s">
        <v>52</v>
      </c>
      <c r="E81" s="13" t="s">
        <v>76</v>
      </c>
      <c r="F81" s="13" t="s">
        <v>77</v>
      </c>
      <c r="G81" s="13" t="s">
        <v>26</v>
      </c>
      <c r="H81" s="14">
        <v>32.0</v>
      </c>
      <c r="I81" s="14">
        <f t="shared" si="3"/>
        <v>4</v>
      </c>
      <c r="J81" s="13" t="s">
        <v>39</v>
      </c>
      <c r="K81" s="13" t="s">
        <v>27</v>
      </c>
      <c r="L81" s="13" t="s">
        <v>39</v>
      </c>
      <c r="M81" s="13" t="s">
        <v>39</v>
      </c>
      <c r="N81" s="13"/>
      <c r="O81" s="13"/>
      <c r="P81" s="13" t="s">
        <v>40</v>
      </c>
      <c r="Q81" s="13" t="s">
        <v>32</v>
      </c>
      <c r="R81" s="13"/>
      <c r="S81" s="13"/>
      <c r="T81" s="13"/>
      <c r="U81" s="13"/>
    </row>
    <row r="82">
      <c r="A82" s="13" t="s">
        <v>310</v>
      </c>
      <c r="B82" s="13" t="s">
        <v>311</v>
      </c>
      <c r="C82" s="14">
        <v>8.9268474554E10</v>
      </c>
      <c r="D82" s="13" t="s">
        <v>52</v>
      </c>
      <c r="E82" s="13" t="s">
        <v>77</v>
      </c>
      <c r="F82" s="13" t="s">
        <v>77</v>
      </c>
      <c r="G82" s="13" t="s">
        <v>26</v>
      </c>
      <c r="H82" s="14">
        <v>41.0</v>
      </c>
      <c r="I82" s="14">
        <f t="shared" si="3"/>
        <v>4</v>
      </c>
      <c r="J82" s="13" t="s">
        <v>27</v>
      </c>
      <c r="K82" s="13" t="s">
        <v>39</v>
      </c>
      <c r="L82" s="13" t="s">
        <v>27</v>
      </c>
      <c r="M82" s="13" t="s">
        <v>27</v>
      </c>
      <c r="N82" s="13" t="s">
        <v>40</v>
      </c>
      <c r="O82" s="13" t="s">
        <v>32</v>
      </c>
      <c r="P82" s="13"/>
      <c r="Q82" s="13"/>
      <c r="R82" s="13" t="s">
        <v>29</v>
      </c>
      <c r="S82" s="13" t="s">
        <v>31</v>
      </c>
      <c r="T82" s="24" t="s">
        <v>33</v>
      </c>
      <c r="U82" s="24" t="s">
        <v>33</v>
      </c>
    </row>
    <row r="83">
      <c r="A83" s="13" t="s">
        <v>312</v>
      </c>
      <c r="B83" s="13" t="s">
        <v>313</v>
      </c>
      <c r="C83" s="14">
        <v>8.9172956229E10</v>
      </c>
      <c r="D83" s="13" t="s">
        <v>23</v>
      </c>
      <c r="E83" s="13" t="s">
        <v>84</v>
      </c>
      <c r="F83" s="13" t="s">
        <v>180</v>
      </c>
      <c r="G83" s="13" t="s">
        <v>26</v>
      </c>
      <c r="H83" s="14">
        <v>27.0</v>
      </c>
      <c r="I83" s="14">
        <f t="shared" si="3"/>
        <v>3</v>
      </c>
      <c r="J83" s="13" t="s">
        <v>27</v>
      </c>
      <c r="K83" s="13" t="s">
        <v>28</v>
      </c>
      <c r="L83" s="13" t="s">
        <v>27</v>
      </c>
      <c r="M83" s="13" t="s">
        <v>27</v>
      </c>
      <c r="N83" s="13" t="s">
        <v>40</v>
      </c>
      <c r="O83" s="13" t="s">
        <v>32</v>
      </c>
      <c r="P83" s="24" t="s">
        <v>33</v>
      </c>
      <c r="Q83" s="24" t="s">
        <v>33</v>
      </c>
      <c r="R83" s="13" t="s">
        <v>29</v>
      </c>
      <c r="S83" s="13" t="s">
        <v>30</v>
      </c>
      <c r="T83" s="13" t="s">
        <v>40</v>
      </c>
      <c r="U83" s="13" t="s">
        <v>32</v>
      </c>
    </row>
    <row r="84">
      <c r="A84" s="13" t="s">
        <v>314</v>
      </c>
      <c r="B84" s="13" t="s">
        <v>315</v>
      </c>
      <c r="C84" s="14">
        <v>8.9106545358E10</v>
      </c>
      <c r="D84" s="13" t="s">
        <v>23</v>
      </c>
      <c r="E84" s="13" t="s">
        <v>207</v>
      </c>
      <c r="F84" s="13" t="s">
        <v>316</v>
      </c>
      <c r="G84" s="13" t="s">
        <v>38</v>
      </c>
      <c r="H84" s="14">
        <v>33.0</v>
      </c>
      <c r="I84" s="14">
        <f t="shared" si="3"/>
        <v>4</v>
      </c>
      <c r="J84" s="13" t="s">
        <v>27</v>
      </c>
      <c r="K84" s="13" t="s">
        <v>27</v>
      </c>
      <c r="L84" s="13" t="s">
        <v>27</v>
      </c>
      <c r="M84" s="13" t="s">
        <v>27</v>
      </c>
      <c r="N84" s="13" t="s">
        <v>31</v>
      </c>
      <c r="O84" s="13" t="s">
        <v>32</v>
      </c>
      <c r="P84" s="13" t="s">
        <v>40</v>
      </c>
      <c r="Q84" s="13" t="s">
        <v>32</v>
      </c>
      <c r="R84" s="13" t="s">
        <v>31</v>
      </c>
      <c r="S84" s="13" t="s">
        <v>32</v>
      </c>
      <c r="T84" s="13" t="s">
        <v>29</v>
      </c>
      <c r="U84" s="13" t="s">
        <v>31</v>
      </c>
    </row>
    <row r="85">
      <c r="A85" s="13" t="s">
        <v>317</v>
      </c>
      <c r="B85" s="20" t="s">
        <v>318</v>
      </c>
      <c r="C85" s="14">
        <v>8.9061930784E10</v>
      </c>
      <c r="D85" s="13" t="s">
        <v>23</v>
      </c>
      <c r="E85" s="13" t="s">
        <v>319</v>
      </c>
      <c r="F85" s="13" t="s">
        <v>215</v>
      </c>
      <c r="G85" s="13" t="s">
        <v>26</v>
      </c>
      <c r="H85" s="14">
        <v>50.0</v>
      </c>
      <c r="I85" s="14">
        <f t="shared" si="3"/>
        <v>4</v>
      </c>
      <c r="J85" s="13" t="s">
        <v>39</v>
      </c>
      <c r="K85" s="13" t="s">
        <v>27</v>
      </c>
      <c r="L85" s="13" t="s">
        <v>39</v>
      </c>
      <c r="M85" s="13" t="s">
        <v>39</v>
      </c>
      <c r="N85" s="24" t="s">
        <v>33</v>
      </c>
      <c r="O85" s="24" t="s">
        <v>33</v>
      </c>
      <c r="P85" s="13" t="s">
        <v>40</v>
      </c>
      <c r="Q85" s="13" t="s">
        <v>32</v>
      </c>
      <c r="R85" s="13"/>
      <c r="S85" s="13"/>
      <c r="T85" s="13"/>
      <c r="U85" s="13"/>
    </row>
    <row r="86">
      <c r="A86" s="13" t="s">
        <v>320</v>
      </c>
      <c r="B86" s="13" t="s">
        <v>321</v>
      </c>
      <c r="C86" s="14">
        <v>8.985216852E10</v>
      </c>
      <c r="D86" s="13" t="s">
        <v>23</v>
      </c>
      <c r="E86" s="13" t="s">
        <v>36</v>
      </c>
      <c r="F86" s="13" t="s">
        <v>238</v>
      </c>
      <c r="G86" s="13" t="s">
        <v>38</v>
      </c>
      <c r="H86" s="14">
        <v>20.0</v>
      </c>
      <c r="I86" s="14">
        <f t="shared" si="3"/>
        <v>4</v>
      </c>
      <c r="J86" s="13" t="s">
        <v>27</v>
      </c>
      <c r="K86" s="13" t="s">
        <v>39</v>
      </c>
      <c r="L86" s="13" t="s">
        <v>39</v>
      </c>
      <c r="M86" s="13" t="s">
        <v>27</v>
      </c>
      <c r="N86" s="13" t="s">
        <v>40</v>
      </c>
      <c r="O86" s="13" t="s">
        <v>32</v>
      </c>
      <c r="P86" s="13"/>
      <c r="Q86" s="13"/>
      <c r="R86" s="13"/>
      <c r="S86" s="13"/>
      <c r="T86" s="13" t="s">
        <v>40</v>
      </c>
      <c r="U86" s="13" t="s">
        <v>32</v>
      </c>
    </row>
    <row r="87">
      <c r="A87" s="13" t="s">
        <v>322</v>
      </c>
      <c r="B87" s="20" t="s">
        <v>323</v>
      </c>
      <c r="C87" s="14">
        <v>8.9171106075E10</v>
      </c>
      <c r="D87" s="13" t="s">
        <v>23</v>
      </c>
      <c r="E87" s="13" t="s">
        <v>138</v>
      </c>
      <c r="F87" s="13" t="s">
        <v>139</v>
      </c>
      <c r="G87" s="13" t="s">
        <v>26</v>
      </c>
      <c r="H87" s="14">
        <v>35.0</v>
      </c>
      <c r="I87" s="14">
        <f t="shared" si="3"/>
        <v>3</v>
      </c>
      <c r="J87" s="13" t="s">
        <v>39</v>
      </c>
      <c r="K87" s="13" t="s">
        <v>27</v>
      </c>
      <c r="L87" s="13" t="s">
        <v>27</v>
      </c>
      <c r="M87" s="13" t="s">
        <v>28</v>
      </c>
      <c r="N87" s="13"/>
      <c r="O87" s="13"/>
      <c r="P87" s="13" t="s">
        <v>29</v>
      </c>
      <c r="Q87" s="13" t="s">
        <v>30</v>
      </c>
      <c r="R87" s="13" t="s">
        <v>40</v>
      </c>
      <c r="S87" s="13" t="s">
        <v>32</v>
      </c>
      <c r="T87" s="24" t="s">
        <v>33</v>
      </c>
      <c r="U87" s="24" t="s">
        <v>33</v>
      </c>
    </row>
    <row r="88">
      <c r="A88" s="13" t="s">
        <v>324</v>
      </c>
      <c r="B88" s="13" t="s">
        <v>325</v>
      </c>
      <c r="C88" s="14">
        <v>8.9065573691E10</v>
      </c>
      <c r="D88" s="13" t="s">
        <v>23</v>
      </c>
      <c r="E88" s="13" t="s">
        <v>112</v>
      </c>
      <c r="F88" s="13" t="s">
        <v>124</v>
      </c>
      <c r="G88" s="13" t="s">
        <v>26</v>
      </c>
      <c r="H88" s="14">
        <v>40.0</v>
      </c>
      <c r="I88" s="14">
        <f t="shared" si="3"/>
        <v>2</v>
      </c>
      <c r="J88" s="13" t="s">
        <v>27</v>
      </c>
      <c r="K88" s="13" t="s">
        <v>48</v>
      </c>
      <c r="L88" s="13" t="s">
        <v>48</v>
      </c>
      <c r="M88" s="13" t="s">
        <v>39</v>
      </c>
      <c r="N88" s="13" t="s">
        <v>40</v>
      </c>
      <c r="O88" s="13" t="s">
        <v>32</v>
      </c>
      <c r="P88" s="24" t="s">
        <v>33</v>
      </c>
      <c r="Q88" s="24" t="s">
        <v>33</v>
      </c>
      <c r="R88" s="24" t="s">
        <v>33</v>
      </c>
      <c r="S88" s="24" t="s">
        <v>33</v>
      </c>
      <c r="T88" s="13"/>
      <c r="U88" s="13"/>
    </row>
    <row r="89">
      <c r="A89" s="13" t="s">
        <v>326</v>
      </c>
      <c r="B89" s="13" t="s">
        <v>327</v>
      </c>
      <c r="C89" s="14">
        <v>8.9228861925E10</v>
      </c>
      <c r="D89" s="13" t="s">
        <v>23</v>
      </c>
      <c r="E89" s="13" t="s">
        <v>328</v>
      </c>
      <c r="F89" s="13" t="s">
        <v>329</v>
      </c>
      <c r="G89" s="13" t="s">
        <v>26</v>
      </c>
      <c r="H89" s="14">
        <v>49.0</v>
      </c>
      <c r="I89" s="14">
        <f t="shared" si="3"/>
        <v>3</v>
      </c>
      <c r="J89" s="13" t="s">
        <v>27</v>
      </c>
      <c r="K89" s="13" t="s">
        <v>27</v>
      </c>
      <c r="L89" s="13" t="s">
        <v>27</v>
      </c>
      <c r="M89" s="13" t="s">
        <v>28</v>
      </c>
      <c r="N89" s="13" t="s">
        <v>40</v>
      </c>
      <c r="O89" s="13" t="s">
        <v>32</v>
      </c>
      <c r="P89" s="13"/>
      <c r="Q89" s="13"/>
      <c r="R89" s="13" t="s">
        <v>40</v>
      </c>
      <c r="S89" s="13" t="s">
        <v>32</v>
      </c>
      <c r="T89" s="24" t="s">
        <v>33</v>
      </c>
      <c r="U89" s="24" t="s">
        <v>33</v>
      </c>
    </row>
    <row r="90">
      <c r="A90" s="13" t="s">
        <v>330</v>
      </c>
      <c r="B90" s="20" t="s">
        <v>331</v>
      </c>
      <c r="C90" s="14">
        <v>8.9173817627E10</v>
      </c>
      <c r="D90" s="13" t="s">
        <v>23</v>
      </c>
      <c r="E90" s="13" t="s">
        <v>332</v>
      </c>
      <c r="F90" s="13" t="s">
        <v>54</v>
      </c>
      <c r="G90" s="13" t="s">
        <v>38</v>
      </c>
      <c r="H90" s="14">
        <v>45.0</v>
      </c>
      <c r="I90" s="14">
        <f t="shared" si="3"/>
        <v>2</v>
      </c>
      <c r="J90" s="13" t="s">
        <v>39</v>
      </c>
      <c r="K90" s="13" t="s">
        <v>28</v>
      </c>
      <c r="L90" s="13" t="s">
        <v>28</v>
      </c>
      <c r="M90" s="13" t="s">
        <v>27</v>
      </c>
      <c r="N90" s="13"/>
      <c r="O90" s="13"/>
      <c r="P90" s="24" t="s">
        <v>33</v>
      </c>
      <c r="Q90" s="24" t="s">
        <v>33</v>
      </c>
      <c r="R90" s="24" t="s">
        <v>33</v>
      </c>
      <c r="S90" s="24" t="s">
        <v>33</v>
      </c>
      <c r="T90" s="13" t="s">
        <v>40</v>
      </c>
      <c r="U90" s="13" t="s">
        <v>32</v>
      </c>
    </row>
    <row r="91">
      <c r="A91" s="13" t="s">
        <v>333</v>
      </c>
      <c r="B91" s="13" t="s">
        <v>334</v>
      </c>
      <c r="C91" s="14">
        <v>8.9024729922E10</v>
      </c>
      <c r="D91" s="13" t="s">
        <v>23</v>
      </c>
      <c r="E91" s="13" t="s">
        <v>335</v>
      </c>
      <c r="F91" s="13" t="s">
        <v>336</v>
      </c>
      <c r="G91" s="13" t="s">
        <v>38</v>
      </c>
      <c r="H91" s="14">
        <v>47.0</v>
      </c>
      <c r="I91" s="14">
        <f t="shared" si="3"/>
        <v>4</v>
      </c>
      <c r="J91" s="13" t="s">
        <v>39</v>
      </c>
      <c r="K91" s="13" t="s">
        <v>27</v>
      </c>
      <c r="L91" s="13" t="s">
        <v>27</v>
      </c>
      <c r="M91" s="13" t="s">
        <v>27</v>
      </c>
      <c r="N91" s="13"/>
      <c r="O91" s="13"/>
      <c r="P91" s="13" t="s">
        <v>29</v>
      </c>
      <c r="Q91" s="13" t="s">
        <v>30</v>
      </c>
      <c r="R91" s="13" t="s">
        <v>29</v>
      </c>
      <c r="S91" s="13" t="s">
        <v>31</v>
      </c>
      <c r="T91" s="13" t="s">
        <v>40</v>
      </c>
      <c r="U91" s="13" t="s">
        <v>32</v>
      </c>
    </row>
    <row r="92">
      <c r="A92" s="13" t="s">
        <v>337</v>
      </c>
      <c r="B92" s="13" t="s">
        <v>338</v>
      </c>
      <c r="C92" s="14">
        <v>8.9667548632E10</v>
      </c>
      <c r="D92" s="13" t="s">
        <v>52</v>
      </c>
      <c r="E92" s="13" t="s">
        <v>164</v>
      </c>
      <c r="F92" s="13" t="s">
        <v>164</v>
      </c>
      <c r="G92" s="13" t="s">
        <v>26</v>
      </c>
      <c r="H92" s="14">
        <v>27.0</v>
      </c>
      <c r="I92" s="14">
        <f t="shared" si="3"/>
        <v>3</v>
      </c>
      <c r="J92" s="13" t="s">
        <v>39</v>
      </c>
      <c r="K92" s="13" t="s">
        <v>27</v>
      </c>
      <c r="L92" s="13" t="s">
        <v>39</v>
      </c>
      <c r="M92" s="13" t="s">
        <v>48</v>
      </c>
      <c r="N92" s="13"/>
      <c r="O92" s="13"/>
      <c r="P92" s="13" t="s">
        <v>29</v>
      </c>
      <c r="Q92" s="13" t="s">
        <v>31</v>
      </c>
      <c r="R92" s="13"/>
      <c r="S92" s="13"/>
      <c r="T92" s="13"/>
      <c r="U92" s="13"/>
    </row>
    <row r="93">
      <c r="A93" s="13" t="s">
        <v>339</v>
      </c>
      <c r="B93" s="13" t="s">
        <v>340</v>
      </c>
      <c r="C93" s="14">
        <v>8.9127629383E10</v>
      </c>
      <c r="D93" s="13" t="s">
        <v>23</v>
      </c>
      <c r="E93" s="13" t="s">
        <v>174</v>
      </c>
      <c r="F93" s="13" t="s">
        <v>175</v>
      </c>
      <c r="G93" s="13" t="s">
        <v>26</v>
      </c>
      <c r="H93" s="14">
        <v>36.0</v>
      </c>
      <c r="I93" s="14">
        <f t="shared" si="3"/>
        <v>4</v>
      </c>
      <c r="J93" s="13" t="s">
        <v>27</v>
      </c>
      <c r="K93" s="13" t="s">
        <v>39</v>
      </c>
      <c r="L93" s="13" t="s">
        <v>39</v>
      </c>
      <c r="M93" s="13" t="s">
        <v>27</v>
      </c>
      <c r="N93" s="13" t="s">
        <v>40</v>
      </c>
      <c r="O93" s="13" t="s">
        <v>32</v>
      </c>
      <c r="P93" s="13"/>
      <c r="Q93" s="13"/>
      <c r="R93" s="13"/>
      <c r="S93" s="13"/>
      <c r="T93" s="13" t="s">
        <v>40</v>
      </c>
      <c r="U93" s="13" t="s">
        <v>32</v>
      </c>
    </row>
    <row r="94">
      <c r="A94" s="13" t="s">
        <v>341</v>
      </c>
      <c r="B94" s="13" t="s">
        <v>342</v>
      </c>
      <c r="C94" s="14">
        <v>8.910107075E10</v>
      </c>
      <c r="D94" s="13" t="s">
        <v>23</v>
      </c>
      <c r="E94" s="13" t="s">
        <v>343</v>
      </c>
      <c r="F94" s="13" t="s">
        <v>124</v>
      </c>
      <c r="G94" s="13" t="s">
        <v>26</v>
      </c>
      <c r="H94" s="14">
        <v>34.0</v>
      </c>
      <c r="I94" s="14">
        <f t="shared" si="3"/>
        <v>4</v>
      </c>
      <c r="J94" s="13" t="s">
        <v>39</v>
      </c>
      <c r="K94" s="13" t="s">
        <v>27</v>
      </c>
      <c r="L94" s="13" t="s">
        <v>39</v>
      </c>
      <c r="M94" s="13" t="s">
        <v>27</v>
      </c>
      <c r="N94" s="13"/>
      <c r="O94" s="13"/>
      <c r="P94" s="13" t="s">
        <v>29</v>
      </c>
      <c r="Q94" s="13" t="s">
        <v>31</v>
      </c>
      <c r="R94" s="13"/>
      <c r="S94" s="13"/>
      <c r="T94" s="13" t="s">
        <v>31</v>
      </c>
      <c r="U94" s="13" t="s">
        <v>32</v>
      </c>
    </row>
    <row r="95">
      <c r="A95" s="13" t="s">
        <v>344</v>
      </c>
      <c r="B95" s="13" t="s">
        <v>345</v>
      </c>
      <c r="C95" s="14">
        <v>8.9234380914E10</v>
      </c>
      <c r="D95" s="13" t="s">
        <v>52</v>
      </c>
      <c r="E95" s="13" t="s">
        <v>346</v>
      </c>
      <c r="F95" s="13" t="s">
        <v>47</v>
      </c>
      <c r="G95" s="13" t="s">
        <v>26</v>
      </c>
      <c r="H95" s="14">
        <v>33.0</v>
      </c>
      <c r="I95" s="14">
        <f t="shared" si="3"/>
        <v>4</v>
      </c>
      <c r="J95" s="13" t="s">
        <v>27</v>
      </c>
      <c r="K95" s="13" t="s">
        <v>27</v>
      </c>
      <c r="L95" s="13" t="s">
        <v>27</v>
      </c>
      <c r="M95" s="13" t="s">
        <v>39</v>
      </c>
      <c r="N95" s="13" t="s">
        <v>29</v>
      </c>
      <c r="O95" s="13" t="s">
        <v>31</v>
      </c>
      <c r="P95" s="13" t="s">
        <v>40</v>
      </c>
      <c r="Q95" s="13" t="s">
        <v>32</v>
      </c>
      <c r="R95" s="13" t="s">
        <v>31</v>
      </c>
      <c r="S95" s="13" t="s">
        <v>32</v>
      </c>
      <c r="T95" s="13"/>
      <c r="U95" s="13"/>
    </row>
    <row r="96">
      <c r="A96" s="13" t="s">
        <v>347</v>
      </c>
      <c r="B96" s="20" t="s">
        <v>348</v>
      </c>
      <c r="C96" s="14">
        <v>8.90238138E10</v>
      </c>
      <c r="D96" s="13" t="s">
        <v>23</v>
      </c>
      <c r="E96" s="13" t="s">
        <v>187</v>
      </c>
      <c r="F96" s="13" t="s">
        <v>188</v>
      </c>
      <c r="G96" s="13" t="s">
        <v>26</v>
      </c>
      <c r="H96" s="14">
        <v>49.0</v>
      </c>
      <c r="I96" s="14">
        <f t="shared" si="3"/>
        <v>2</v>
      </c>
      <c r="J96" s="13" t="s">
        <v>28</v>
      </c>
      <c r="K96" s="13" t="s">
        <v>28</v>
      </c>
      <c r="L96" s="13" t="s">
        <v>27</v>
      </c>
      <c r="M96" s="13" t="s">
        <v>39</v>
      </c>
      <c r="N96" s="24" t="s">
        <v>33</v>
      </c>
      <c r="O96" s="24" t="s">
        <v>33</v>
      </c>
      <c r="P96" s="24" t="s">
        <v>33</v>
      </c>
      <c r="Q96" s="24" t="s">
        <v>33</v>
      </c>
      <c r="R96" s="13" t="s">
        <v>40</v>
      </c>
      <c r="S96" s="13" t="s">
        <v>32</v>
      </c>
      <c r="T96" s="13"/>
      <c r="U96" s="13"/>
    </row>
    <row r="97">
      <c r="A97" s="13" t="s">
        <v>349</v>
      </c>
      <c r="B97" s="13" t="s">
        <v>350</v>
      </c>
      <c r="C97" s="14">
        <v>8.9063900692E10</v>
      </c>
      <c r="D97" s="13" t="s">
        <v>23</v>
      </c>
      <c r="E97" s="13" t="s">
        <v>351</v>
      </c>
      <c r="F97" s="13" t="s">
        <v>352</v>
      </c>
      <c r="G97" s="13" t="s">
        <v>26</v>
      </c>
      <c r="H97" s="14">
        <v>40.0</v>
      </c>
      <c r="I97" s="14">
        <f t="shared" si="3"/>
        <v>3</v>
      </c>
      <c r="J97" s="13" t="s">
        <v>39</v>
      </c>
      <c r="K97" s="13" t="s">
        <v>28</v>
      </c>
      <c r="L97" s="13" t="s">
        <v>27</v>
      </c>
      <c r="M97" s="13" t="s">
        <v>27</v>
      </c>
      <c r="N97" s="13"/>
      <c r="O97" s="13"/>
      <c r="P97" s="24" t="s">
        <v>33</v>
      </c>
      <c r="Q97" s="24" t="s">
        <v>33</v>
      </c>
      <c r="R97" s="13" t="s">
        <v>40</v>
      </c>
      <c r="S97" s="13" t="s">
        <v>32</v>
      </c>
      <c r="T97" s="13" t="s">
        <v>40</v>
      </c>
      <c r="U97" s="13" t="s">
        <v>32</v>
      </c>
    </row>
    <row r="98">
      <c r="A98" s="13" t="s">
        <v>353</v>
      </c>
      <c r="B98" s="13" t="s">
        <v>354</v>
      </c>
      <c r="C98" s="14">
        <v>8.9288423575E10</v>
      </c>
      <c r="D98" s="13" t="s">
        <v>52</v>
      </c>
      <c r="E98" s="13" t="s">
        <v>147</v>
      </c>
      <c r="F98" s="13" t="s">
        <v>147</v>
      </c>
      <c r="G98" s="13" t="s">
        <v>26</v>
      </c>
      <c r="H98" s="14">
        <v>34.0</v>
      </c>
      <c r="I98" s="14">
        <f t="shared" si="3"/>
        <v>4</v>
      </c>
      <c r="J98" s="13" t="s">
        <v>39</v>
      </c>
      <c r="K98" s="13" t="s">
        <v>27</v>
      </c>
      <c r="L98" s="13" t="s">
        <v>39</v>
      </c>
      <c r="M98" s="13" t="s">
        <v>27</v>
      </c>
      <c r="N98" s="13"/>
      <c r="O98" s="13"/>
      <c r="P98" s="13" t="s">
        <v>40</v>
      </c>
      <c r="Q98" s="13" t="s">
        <v>32</v>
      </c>
      <c r="R98" s="13"/>
      <c r="S98" s="13"/>
      <c r="T98" s="13" t="s">
        <v>40</v>
      </c>
      <c r="U98" s="13" t="s">
        <v>32</v>
      </c>
    </row>
    <row r="99">
      <c r="A99" s="13" t="s">
        <v>355</v>
      </c>
      <c r="B99" s="13" t="s">
        <v>356</v>
      </c>
      <c r="C99" s="14">
        <v>8.9272552207E10</v>
      </c>
      <c r="D99" s="13" t="s">
        <v>23</v>
      </c>
      <c r="E99" s="13" t="s">
        <v>187</v>
      </c>
      <c r="F99" s="13" t="s">
        <v>188</v>
      </c>
      <c r="G99" s="13" t="s">
        <v>26</v>
      </c>
      <c r="H99" s="14">
        <v>50.0</v>
      </c>
      <c r="I99" s="14">
        <f t="shared" si="3"/>
        <v>3</v>
      </c>
      <c r="J99" s="13" t="s">
        <v>27</v>
      </c>
      <c r="K99" s="13" t="s">
        <v>48</v>
      </c>
      <c r="L99" s="13" t="s">
        <v>27</v>
      </c>
      <c r="M99" s="13" t="s">
        <v>27</v>
      </c>
      <c r="N99" s="13" t="s">
        <v>31</v>
      </c>
      <c r="O99" s="13" t="s">
        <v>32</v>
      </c>
      <c r="P99" s="24" t="s">
        <v>33</v>
      </c>
      <c r="Q99" s="24" t="s">
        <v>33</v>
      </c>
      <c r="R99" s="13" t="s">
        <v>31</v>
      </c>
      <c r="S99" s="13" t="s">
        <v>32</v>
      </c>
      <c r="T99" s="13" t="s">
        <v>29</v>
      </c>
      <c r="U99" s="13" t="s">
        <v>30</v>
      </c>
    </row>
    <row r="100">
      <c r="A100" s="13" t="s">
        <v>357</v>
      </c>
      <c r="B100" s="20" t="s">
        <v>358</v>
      </c>
      <c r="C100" s="14">
        <v>8.9105012024E10</v>
      </c>
      <c r="D100" s="13" t="s">
        <v>52</v>
      </c>
      <c r="E100" s="13" t="s">
        <v>359</v>
      </c>
      <c r="F100" s="13" t="s">
        <v>359</v>
      </c>
      <c r="G100" s="13" t="s">
        <v>26</v>
      </c>
      <c r="H100" s="14">
        <v>28.0</v>
      </c>
      <c r="I100" s="14">
        <f t="shared" si="3"/>
        <v>4</v>
      </c>
      <c r="J100" s="13" t="s">
        <v>27</v>
      </c>
      <c r="K100" s="13" t="s">
        <v>39</v>
      </c>
      <c r="L100" s="13" t="s">
        <v>27</v>
      </c>
      <c r="M100" s="13" t="s">
        <v>39</v>
      </c>
      <c r="N100" s="13" t="s">
        <v>29</v>
      </c>
      <c r="O100" s="13" t="s">
        <v>30</v>
      </c>
      <c r="P100" s="13"/>
      <c r="Q100" s="13"/>
      <c r="R100" s="13" t="s">
        <v>29</v>
      </c>
      <c r="S100" s="13" t="s">
        <v>30</v>
      </c>
      <c r="T100" s="13"/>
      <c r="U100" s="13"/>
    </row>
    <row r="101">
      <c r="A101" s="13" t="s">
        <v>360</v>
      </c>
      <c r="B101" s="13" t="s">
        <v>361</v>
      </c>
      <c r="C101" s="14">
        <v>8.9533316231E10</v>
      </c>
      <c r="D101" s="13" t="s">
        <v>23</v>
      </c>
      <c r="E101" s="13" t="s">
        <v>362</v>
      </c>
      <c r="F101" s="13" t="s">
        <v>363</v>
      </c>
      <c r="G101" s="13" t="s">
        <v>38</v>
      </c>
      <c r="H101" s="14">
        <v>43.0</v>
      </c>
      <c r="I101" s="14">
        <f t="shared" si="3"/>
        <v>2</v>
      </c>
      <c r="J101" s="13" t="s">
        <v>39</v>
      </c>
      <c r="K101" s="13" t="s">
        <v>27</v>
      </c>
      <c r="L101" s="13" t="s">
        <v>48</v>
      </c>
      <c r="M101" s="13" t="s">
        <v>48</v>
      </c>
      <c r="N101" s="13"/>
      <c r="O101" s="13"/>
      <c r="P101" s="13" t="s">
        <v>40</v>
      </c>
      <c r="Q101" s="13" t="s">
        <v>32</v>
      </c>
      <c r="R101" s="24" t="s">
        <v>33</v>
      </c>
      <c r="S101" s="24" t="s">
        <v>33</v>
      </c>
      <c r="T101" s="24" t="s">
        <v>33</v>
      </c>
      <c r="U101" s="24" t="s">
        <v>33</v>
      </c>
    </row>
    <row r="102">
      <c r="A102" s="13" t="s">
        <v>364</v>
      </c>
      <c r="B102" s="13" t="s">
        <v>365</v>
      </c>
      <c r="C102" s="14">
        <v>8.9262840669E10</v>
      </c>
      <c r="D102" s="13" t="s">
        <v>23</v>
      </c>
      <c r="E102" s="13" t="s">
        <v>77</v>
      </c>
      <c r="F102" s="13" t="s">
        <v>77</v>
      </c>
      <c r="G102" s="13" t="s">
        <v>26</v>
      </c>
      <c r="H102" s="14">
        <v>24.0</v>
      </c>
      <c r="I102" s="14">
        <f t="shared" si="3"/>
        <v>2</v>
      </c>
      <c r="J102" s="13" t="s">
        <v>28</v>
      </c>
      <c r="K102" s="13" t="s">
        <v>27</v>
      </c>
      <c r="L102" s="13" t="s">
        <v>27</v>
      </c>
      <c r="M102" s="13" t="s">
        <v>28</v>
      </c>
      <c r="N102" s="24" t="s">
        <v>33</v>
      </c>
      <c r="O102" s="24" t="s">
        <v>33</v>
      </c>
      <c r="P102" s="13" t="s">
        <v>29</v>
      </c>
      <c r="Q102" s="13" t="s">
        <v>30</v>
      </c>
      <c r="R102" s="13" t="s">
        <v>29</v>
      </c>
      <c r="S102" s="13" t="s">
        <v>30</v>
      </c>
      <c r="T102" s="24" t="s">
        <v>33</v>
      </c>
      <c r="U102" s="24" t="s">
        <v>33</v>
      </c>
    </row>
    <row r="103">
      <c r="A103" s="13" t="s">
        <v>366</v>
      </c>
      <c r="B103" s="13" t="s">
        <v>367</v>
      </c>
      <c r="C103" s="14">
        <v>8.9247047975E10</v>
      </c>
      <c r="D103" s="13" t="s">
        <v>23</v>
      </c>
      <c r="E103" s="13" t="s">
        <v>368</v>
      </c>
      <c r="F103" s="13" t="s">
        <v>369</v>
      </c>
      <c r="G103" s="13" t="s">
        <v>26</v>
      </c>
      <c r="H103" s="14">
        <v>33.0</v>
      </c>
      <c r="I103" s="14">
        <f t="shared" si="3"/>
        <v>2</v>
      </c>
      <c r="J103" s="13" t="s">
        <v>27</v>
      </c>
      <c r="K103" s="13" t="s">
        <v>48</v>
      </c>
      <c r="L103" s="13" t="s">
        <v>27</v>
      </c>
      <c r="M103" s="13" t="s">
        <v>48</v>
      </c>
      <c r="N103" s="13" t="s">
        <v>31</v>
      </c>
      <c r="O103" s="13" t="s">
        <v>32</v>
      </c>
      <c r="P103" s="24" t="s">
        <v>33</v>
      </c>
      <c r="Q103" s="24" t="s">
        <v>33</v>
      </c>
      <c r="R103" s="13" t="s">
        <v>31</v>
      </c>
      <c r="S103" s="13" t="s">
        <v>32</v>
      </c>
      <c r="T103" s="24" t="s">
        <v>33</v>
      </c>
      <c r="U103" s="24" t="s">
        <v>33</v>
      </c>
    </row>
    <row r="104">
      <c r="A104" s="13" t="s">
        <v>370</v>
      </c>
      <c r="B104" s="13" t="s">
        <v>371</v>
      </c>
      <c r="C104" s="14">
        <v>8.9176004996E10</v>
      </c>
      <c r="D104" s="13" t="s">
        <v>23</v>
      </c>
      <c r="E104" s="13" t="s">
        <v>372</v>
      </c>
      <c r="F104" s="13" t="s">
        <v>373</v>
      </c>
      <c r="G104" s="13" t="s">
        <v>26</v>
      </c>
      <c r="H104" s="14">
        <v>40.0</v>
      </c>
      <c r="I104" s="14">
        <f t="shared" si="3"/>
        <v>2</v>
      </c>
      <c r="J104" s="13" t="s">
        <v>39</v>
      </c>
      <c r="K104" s="13" t="s">
        <v>27</v>
      </c>
      <c r="L104" s="13" t="s">
        <v>48</v>
      </c>
      <c r="M104" s="13" t="s">
        <v>48</v>
      </c>
      <c r="N104" s="13"/>
      <c r="O104" s="13"/>
      <c r="P104" s="13" t="s">
        <v>29</v>
      </c>
      <c r="Q104" s="13" t="s">
        <v>31</v>
      </c>
      <c r="R104" s="13"/>
      <c r="S104" s="13"/>
      <c r="T104" s="13"/>
      <c r="U104" s="13"/>
    </row>
    <row r="105">
      <c r="A105" s="13" t="s">
        <v>374</v>
      </c>
      <c r="B105" s="13" t="s">
        <v>375</v>
      </c>
      <c r="C105" s="14">
        <v>8.9958810686E10</v>
      </c>
      <c r="D105" s="13" t="s">
        <v>23</v>
      </c>
      <c r="E105" s="13" t="s">
        <v>195</v>
      </c>
      <c r="F105" s="13" t="s">
        <v>376</v>
      </c>
      <c r="G105" s="13" t="s">
        <v>38</v>
      </c>
      <c r="H105" s="14">
        <v>21.0</v>
      </c>
      <c r="I105" s="14">
        <f t="shared" si="3"/>
        <v>2</v>
      </c>
      <c r="J105" s="13" t="s">
        <v>27</v>
      </c>
      <c r="K105" s="13" t="s">
        <v>48</v>
      </c>
      <c r="L105" s="13" t="s">
        <v>39</v>
      </c>
      <c r="M105" s="13" t="s">
        <v>48</v>
      </c>
      <c r="N105" s="13" t="s">
        <v>31</v>
      </c>
      <c r="O105" s="13" t="s">
        <v>32</v>
      </c>
      <c r="P105" s="24" t="s">
        <v>33</v>
      </c>
      <c r="Q105" s="24" t="s">
        <v>33</v>
      </c>
      <c r="R105" s="13"/>
      <c r="S105" s="13"/>
      <c r="T105" s="24" t="s">
        <v>33</v>
      </c>
      <c r="U105" s="24" t="s">
        <v>33</v>
      </c>
    </row>
    <row r="106">
      <c r="A106" s="13" t="s">
        <v>377</v>
      </c>
      <c r="B106" s="20" t="s">
        <v>378</v>
      </c>
      <c r="C106" s="14">
        <v>8.9213285851E10</v>
      </c>
      <c r="D106" s="13" t="s">
        <v>23</v>
      </c>
      <c r="E106" s="13" t="s">
        <v>147</v>
      </c>
      <c r="F106" s="13" t="s">
        <v>147</v>
      </c>
      <c r="G106" s="13" t="s">
        <v>38</v>
      </c>
      <c r="H106" s="14">
        <v>51.0</v>
      </c>
      <c r="I106" s="14">
        <f t="shared" si="3"/>
        <v>4</v>
      </c>
      <c r="J106" s="13" t="s">
        <v>39</v>
      </c>
      <c r="K106" s="13" t="s">
        <v>27</v>
      </c>
      <c r="L106" s="13" t="s">
        <v>39</v>
      </c>
      <c r="M106" s="13" t="s">
        <v>39</v>
      </c>
      <c r="N106" s="13"/>
      <c r="O106" s="13"/>
      <c r="P106" s="13" t="s">
        <v>29</v>
      </c>
      <c r="Q106" s="13" t="s">
        <v>31</v>
      </c>
      <c r="R106" s="13"/>
      <c r="S106" s="13"/>
      <c r="T106" s="13"/>
      <c r="U106" s="13"/>
    </row>
    <row r="107">
      <c r="A107" s="13" t="s">
        <v>379</v>
      </c>
      <c r="B107" s="20" t="s">
        <v>380</v>
      </c>
      <c r="C107" s="14">
        <v>8.9882503041E10</v>
      </c>
      <c r="D107" s="13" t="s">
        <v>23</v>
      </c>
      <c r="E107" s="13" t="s">
        <v>381</v>
      </c>
      <c r="F107" s="13" t="s">
        <v>382</v>
      </c>
      <c r="G107" s="13" t="s">
        <v>26</v>
      </c>
      <c r="H107" s="14">
        <v>28.0</v>
      </c>
      <c r="I107" s="14">
        <f t="shared" si="3"/>
        <v>4</v>
      </c>
      <c r="J107" s="13" t="s">
        <v>39</v>
      </c>
      <c r="K107" s="13" t="s">
        <v>27</v>
      </c>
      <c r="L107" s="13" t="s">
        <v>39</v>
      </c>
      <c r="M107" s="13" t="s">
        <v>27</v>
      </c>
      <c r="N107" s="13"/>
      <c r="O107" s="13"/>
      <c r="P107" s="13" t="s">
        <v>29</v>
      </c>
      <c r="Q107" s="13" t="s">
        <v>30</v>
      </c>
      <c r="R107" s="13"/>
      <c r="S107" s="13"/>
      <c r="T107" s="13" t="s">
        <v>31</v>
      </c>
      <c r="U107" s="13" t="s">
        <v>32</v>
      </c>
    </row>
    <row r="108">
      <c r="A108" s="13" t="s">
        <v>383</v>
      </c>
      <c r="B108" s="20" t="s">
        <v>384</v>
      </c>
      <c r="C108" s="14">
        <v>8.9530371763E10</v>
      </c>
      <c r="D108" s="13" t="s">
        <v>23</v>
      </c>
      <c r="E108" s="13" t="s">
        <v>385</v>
      </c>
      <c r="F108" s="13" t="s">
        <v>276</v>
      </c>
      <c r="G108" s="13" t="s">
        <v>38</v>
      </c>
      <c r="H108" s="14">
        <v>22.0</v>
      </c>
      <c r="I108" s="14">
        <f t="shared" si="3"/>
        <v>4</v>
      </c>
      <c r="J108" s="13" t="s">
        <v>27</v>
      </c>
      <c r="K108" s="13" t="s">
        <v>39</v>
      </c>
      <c r="L108" s="13" t="s">
        <v>27</v>
      </c>
      <c r="M108" s="13" t="s">
        <v>27</v>
      </c>
      <c r="N108" s="13" t="s">
        <v>29</v>
      </c>
      <c r="O108" s="13" t="s">
        <v>31</v>
      </c>
      <c r="P108" s="13"/>
      <c r="Q108" s="13"/>
      <c r="R108" s="13" t="s">
        <v>40</v>
      </c>
      <c r="S108" s="13" t="s">
        <v>32</v>
      </c>
      <c r="T108" s="13" t="s">
        <v>40</v>
      </c>
      <c r="U108" s="13" t="s">
        <v>32</v>
      </c>
    </row>
    <row r="109">
      <c r="A109" s="13" t="s">
        <v>386</v>
      </c>
      <c r="B109" s="13" t="s">
        <v>387</v>
      </c>
      <c r="C109" s="14">
        <v>8.9867433286E10</v>
      </c>
      <c r="D109" s="13" t="s">
        <v>23</v>
      </c>
      <c r="E109" s="13" t="s">
        <v>84</v>
      </c>
      <c r="F109" s="13" t="s">
        <v>180</v>
      </c>
      <c r="G109" s="13" t="s">
        <v>26</v>
      </c>
      <c r="H109" s="14">
        <v>23.0</v>
      </c>
      <c r="I109" s="14">
        <f t="shared" si="3"/>
        <v>2</v>
      </c>
      <c r="J109" s="13" t="s">
        <v>48</v>
      </c>
      <c r="K109" s="13" t="s">
        <v>48</v>
      </c>
      <c r="L109" s="13" t="s">
        <v>39</v>
      </c>
      <c r="M109" s="13" t="s">
        <v>27</v>
      </c>
      <c r="N109" s="13"/>
      <c r="O109" s="13"/>
      <c r="P109" s="13"/>
      <c r="Q109" s="13"/>
      <c r="R109" s="13"/>
      <c r="S109" s="13"/>
      <c r="T109" s="13" t="s">
        <v>31</v>
      </c>
      <c r="U109" s="13" t="s">
        <v>32</v>
      </c>
    </row>
    <row r="110">
      <c r="A110" s="13" t="s">
        <v>388</v>
      </c>
      <c r="B110" s="20" t="s">
        <v>389</v>
      </c>
      <c r="C110" s="14">
        <v>8.9144752213E10</v>
      </c>
      <c r="D110" s="13" t="s">
        <v>23</v>
      </c>
      <c r="E110" s="13" t="s">
        <v>390</v>
      </c>
      <c r="F110" s="13" t="s">
        <v>391</v>
      </c>
      <c r="G110" s="13" t="s">
        <v>38</v>
      </c>
      <c r="H110" s="14">
        <v>22.0</v>
      </c>
      <c r="I110" s="14">
        <f t="shared" si="3"/>
        <v>4</v>
      </c>
      <c r="J110" s="13" t="s">
        <v>27</v>
      </c>
      <c r="K110" s="13" t="s">
        <v>27</v>
      </c>
      <c r="L110" s="13" t="s">
        <v>27</v>
      </c>
      <c r="M110" s="13" t="s">
        <v>27</v>
      </c>
      <c r="N110" s="13" t="s">
        <v>40</v>
      </c>
      <c r="O110" s="13" t="s">
        <v>31</v>
      </c>
      <c r="P110" s="13" t="s">
        <v>31</v>
      </c>
      <c r="Q110" s="13" t="s">
        <v>32</v>
      </c>
      <c r="R110" s="13" t="s">
        <v>40</v>
      </c>
      <c r="S110" s="13" t="s">
        <v>32</v>
      </c>
      <c r="T110" s="13" t="s">
        <v>40</v>
      </c>
      <c r="U110" s="13" t="s">
        <v>32</v>
      </c>
    </row>
    <row r="111">
      <c r="A111" s="13" t="s">
        <v>392</v>
      </c>
      <c r="B111" s="20" t="s">
        <v>393</v>
      </c>
      <c r="C111" s="14">
        <v>8.9528012694E10</v>
      </c>
      <c r="D111" s="13" t="s">
        <v>23</v>
      </c>
      <c r="E111" s="13" t="s">
        <v>394</v>
      </c>
      <c r="F111" s="13" t="s">
        <v>47</v>
      </c>
      <c r="G111" s="13" t="s">
        <v>26</v>
      </c>
      <c r="H111" s="14">
        <v>47.0</v>
      </c>
      <c r="I111" s="14">
        <f t="shared" si="3"/>
        <v>3</v>
      </c>
      <c r="J111" s="13" t="s">
        <v>39</v>
      </c>
      <c r="K111" s="13" t="s">
        <v>27</v>
      </c>
      <c r="L111" s="13" t="s">
        <v>39</v>
      </c>
      <c r="M111" s="13" t="s">
        <v>28</v>
      </c>
      <c r="N111" s="24" t="s">
        <v>33</v>
      </c>
      <c r="O111" s="24" t="s">
        <v>33</v>
      </c>
      <c r="P111" s="13" t="s">
        <v>29</v>
      </c>
      <c r="Q111" s="13" t="s">
        <v>30</v>
      </c>
      <c r="R111" s="13"/>
      <c r="S111" s="13"/>
      <c r="T111" s="24" t="s">
        <v>33</v>
      </c>
      <c r="U111" s="24" t="s">
        <v>33</v>
      </c>
    </row>
    <row r="112">
      <c r="A112" s="13" t="s">
        <v>395</v>
      </c>
      <c r="B112" s="20" t="s">
        <v>396</v>
      </c>
      <c r="C112" s="14">
        <v>8.9835458415E10</v>
      </c>
      <c r="D112" s="13" t="s">
        <v>23</v>
      </c>
      <c r="E112" s="13" t="s">
        <v>385</v>
      </c>
      <c r="F112" s="13" t="s">
        <v>276</v>
      </c>
      <c r="G112" s="13" t="s">
        <v>38</v>
      </c>
      <c r="H112" s="14">
        <v>26.0</v>
      </c>
      <c r="I112" s="14">
        <f t="shared" si="3"/>
        <v>3</v>
      </c>
      <c r="J112" s="13" t="s">
        <v>27</v>
      </c>
      <c r="K112" s="13" t="s">
        <v>48</v>
      </c>
      <c r="L112" s="13" t="s">
        <v>39</v>
      </c>
      <c r="M112" s="13" t="s">
        <v>39</v>
      </c>
      <c r="N112" s="13" t="s">
        <v>40</v>
      </c>
      <c r="O112" s="13" t="s">
        <v>32</v>
      </c>
      <c r="P112" s="24" t="s">
        <v>33</v>
      </c>
      <c r="Q112" s="24" t="s">
        <v>33</v>
      </c>
      <c r="R112" s="13"/>
      <c r="S112" s="13"/>
      <c r="T112" s="13"/>
      <c r="U112" s="13"/>
    </row>
    <row r="113">
      <c r="A113" s="13" t="s">
        <v>397</v>
      </c>
      <c r="B113" s="20" t="s">
        <v>398</v>
      </c>
      <c r="C113" s="14">
        <v>8.9045573468E10</v>
      </c>
      <c r="D113" s="13" t="s">
        <v>23</v>
      </c>
      <c r="E113" s="13" t="s">
        <v>105</v>
      </c>
      <c r="F113" s="13" t="s">
        <v>399</v>
      </c>
      <c r="G113" s="13" t="s">
        <v>26</v>
      </c>
      <c r="H113" s="14">
        <v>35.0</v>
      </c>
      <c r="I113" s="14">
        <f t="shared" si="3"/>
        <v>2</v>
      </c>
      <c r="J113" s="13" t="s">
        <v>28</v>
      </c>
      <c r="K113" s="13" t="s">
        <v>27</v>
      </c>
      <c r="L113" s="13" t="s">
        <v>39</v>
      </c>
      <c r="M113" s="13" t="s">
        <v>28</v>
      </c>
      <c r="N113" s="24" t="s">
        <v>33</v>
      </c>
      <c r="O113" s="24" t="s">
        <v>33</v>
      </c>
      <c r="P113" s="13" t="s">
        <v>40</v>
      </c>
      <c r="Q113" s="13" t="s">
        <v>32</v>
      </c>
      <c r="R113" s="13"/>
      <c r="S113" s="13"/>
      <c r="T113" s="24" t="s">
        <v>33</v>
      </c>
      <c r="U113" s="24" t="s">
        <v>33</v>
      </c>
    </row>
    <row r="114">
      <c r="A114" s="13" t="s">
        <v>400</v>
      </c>
      <c r="B114" s="13" t="s">
        <v>401</v>
      </c>
      <c r="C114" s="14">
        <v>8.9656357339E10</v>
      </c>
      <c r="D114" s="13" t="s">
        <v>23</v>
      </c>
      <c r="E114" s="13" t="s">
        <v>402</v>
      </c>
      <c r="F114" s="13" t="s">
        <v>403</v>
      </c>
      <c r="G114" s="13" t="s">
        <v>26</v>
      </c>
      <c r="H114" s="14">
        <v>30.0</v>
      </c>
      <c r="I114" s="14">
        <f t="shared" si="3"/>
        <v>3</v>
      </c>
      <c r="J114" s="13" t="s">
        <v>27</v>
      </c>
      <c r="K114" s="13" t="s">
        <v>48</v>
      </c>
      <c r="L114" s="13" t="s">
        <v>27</v>
      </c>
      <c r="M114" s="13" t="s">
        <v>39</v>
      </c>
      <c r="N114" s="13" t="s">
        <v>31</v>
      </c>
      <c r="O114" s="13" t="s">
        <v>32</v>
      </c>
      <c r="P114" s="24" t="s">
        <v>33</v>
      </c>
      <c r="Q114" s="24" t="s">
        <v>33</v>
      </c>
      <c r="R114" s="13" t="s">
        <v>29</v>
      </c>
      <c r="S114" s="13" t="s">
        <v>31</v>
      </c>
      <c r="T114" s="13"/>
      <c r="U114" s="13"/>
    </row>
    <row r="115">
      <c r="A115" s="13" t="s">
        <v>404</v>
      </c>
      <c r="B115" s="20" t="s">
        <v>405</v>
      </c>
      <c r="C115" s="14">
        <v>8.9124676438E10</v>
      </c>
      <c r="D115" s="13" t="s">
        <v>23</v>
      </c>
      <c r="E115" s="13" t="s">
        <v>406</v>
      </c>
      <c r="F115" s="13" t="s">
        <v>184</v>
      </c>
      <c r="G115" s="13"/>
      <c r="H115" s="13"/>
      <c r="I115" s="14">
        <f>COUNTIF(J115:M115, "Да")</f>
        <v>3</v>
      </c>
      <c r="J115" s="27" t="s">
        <v>27</v>
      </c>
      <c r="K115" s="13" t="s">
        <v>27</v>
      </c>
      <c r="L115" s="13" t="s">
        <v>48</v>
      </c>
      <c r="M115" s="13" t="s">
        <v>27</v>
      </c>
      <c r="N115" s="13" t="s">
        <v>31</v>
      </c>
      <c r="O115" s="13" t="s">
        <v>32</v>
      </c>
      <c r="P115" s="13" t="s">
        <v>29</v>
      </c>
      <c r="Q115" s="13" t="s">
        <v>31</v>
      </c>
      <c r="R115" s="24" t="s">
        <v>33</v>
      </c>
      <c r="S115" s="24" t="s">
        <v>33</v>
      </c>
      <c r="T115" s="13" t="s">
        <v>29</v>
      </c>
      <c r="U115" s="13" t="s">
        <v>31</v>
      </c>
    </row>
    <row r="116">
      <c r="A116" s="13" t="s">
        <v>407</v>
      </c>
      <c r="B116" s="13" t="s">
        <v>408</v>
      </c>
      <c r="C116" s="14">
        <v>8.9960238005E10</v>
      </c>
      <c r="D116" s="13" t="s">
        <v>52</v>
      </c>
      <c r="E116" s="13" t="s">
        <v>390</v>
      </c>
      <c r="F116" s="13" t="s">
        <v>409</v>
      </c>
      <c r="G116" s="13" t="s">
        <v>26</v>
      </c>
      <c r="H116" s="14">
        <v>23.0</v>
      </c>
      <c r="I116" s="14">
        <f t="shared" ref="I116:I127" si="4">COUNTIF(J116:M116, "Да")+COUNTIF(J116:M116, "Запас")</f>
        <v>4</v>
      </c>
      <c r="J116" s="13" t="s">
        <v>39</v>
      </c>
      <c r="K116" s="13" t="s">
        <v>39</v>
      </c>
      <c r="L116" s="13" t="s">
        <v>39</v>
      </c>
      <c r="M116" s="13" t="s">
        <v>27</v>
      </c>
      <c r="N116" s="13"/>
      <c r="O116" s="13"/>
      <c r="P116" s="13"/>
      <c r="Q116" s="13"/>
      <c r="R116" s="13"/>
      <c r="S116" s="13"/>
      <c r="T116" s="13" t="s">
        <v>40</v>
      </c>
      <c r="U116" s="13" t="s">
        <v>32</v>
      </c>
    </row>
    <row r="117">
      <c r="A117" s="13" t="s">
        <v>410</v>
      </c>
      <c r="B117" s="13" t="s">
        <v>411</v>
      </c>
      <c r="C117" s="14">
        <v>8.9375458841E10</v>
      </c>
      <c r="D117" s="13" t="s">
        <v>23</v>
      </c>
      <c r="E117" s="13" t="s">
        <v>299</v>
      </c>
      <c r="F117" s="13" t="s">
        <v>412</v>
      </c>
      <c r="G117" s="13" t="s">
        <v>26</v>
      </c>
      <c r="H117" s="14">
        <v>36.0</v>
      </c>
      <c r="I117" s="14">
        <f t="shared" si="4"/>
        <v>4</v>
      </c>
      <c r="J117" s="13" t="s">
        <v>27</v>
      </c>
      <c r="K117" s="13" t="s">
        <v>27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 t="s">
        <v>29</v>
      </c>
      <c r="Q117" s="13" t="s">
        <v>30</v>
      </c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413</v>
      </c>
      <c r="B118" s="13" t="s">
        <v>414</v>
      </c>
      <c r="C118" s="14">
        <v>8.9670678091E10</v>
      </c>
      <c r="D118" s="13" t="s">
        <v>52</v>
      </c>
      <c r="E118" s="13" t="s">
        <v>77</v>
      </c>
      <c r="F118" s="13" t="s">
        <v>415</v>
      </c>
      <c r="G118" s="13" t="s">
        <v>26</v>
      </c>
      <c r="H118" s="14">
        <v>28.0</v>
      </c>
      <c r="I118" s="14">
        <f t="shared" si="4"/>
        <v>4</v>
      </c>
      <c r="J118" s="13" t="s">
        <v>27</v>
      </c>
      <c r="K118" s="13" t="s">
        <v>39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/>
      <c r="Q118" s="13"/>
      <c r="R118" s="13" t="s">
        <v>40</v>
      </c>
      <c r="S118" s="13" t="s">
        <v>32</v>
      </c>
      <c r="T118" s="13" t="s">
        <v>40</v>
      </c>
      <c r="U118" s="13" t="s">
        <v>32</v>
      </c>
    </row>
    <row r="119">
      <c r="A119" s="13" t="s">
        <v>416</v>
      </c>
      <c r="B119" s="13" t="s">
        <v>417</v>
      </c>
      <c r="C119" s="14">
        <v>8.9372625551E10</v>
      </c>
      <c r="D119" s="13" t="s">
        <v>23</v>
      </c>
      <c r="E119" s="14">
        <v>64.0</v>
      </c>
      <c r="F119" s="13" t="s">
        <v>151</v>
      </c>
      <c r="G119" s="13" t="s">
        <v>26</v>
      </c>
      <c r="H119" s="14">
        <v>27.0</v>
      </c>
      <c r="I119" s="14">
        <f t="shared" si="4"/>
        <v>4</v>
      </c>
      <c r="J119" s="13" t="s">
        <v>27</v>
      </c>
      <c r="K119" s="13" t="s">
        <v>27</v>
      </c>
      <c r="L119" s="13" t="s">
        <v>27</v>
      </c>
      <c r="M119" s="13" t="s">
        <v>27</v>
      </c>
      <c r="N119" s="13" t="s">
        <v>29</v>
      </c>
      <c r="O119" s="13" t="s">
        <v>31</v>
      </c>
      <c r="P119" s="13" t="s">
        <v>40</v>
      </c>
      <c r="Q119" s="13" t="s">
        <v>32</v>
      </c>
      <c r="R119" s="13" t="s">
        <v>29</v>
      </c>
      <c r="S119" s="13" t="s">
        <v>30</v>
      </c>
      <c r="T119" s="13" t="s">
        <v>29</v>
      </c>
      <c r="U119" s="13" t="s">
        <v>30</v>
      </c>
    </row>
    <row r="120">
      <c r="A120" s="13" t="s">
        <v>418</v>
      </c>
      <c r="B120" s="13" t="s">
        <v>419</v>
      </c>
      <c r="C120" s="14">
        <v>8.9114711736E10</v>
      </c>
      <c r="D120" s="13" t="s">
        <v>52</v>
      </c>
      <c r="E120" s="13" t="s">
        <v>174</v>
      </c>
      <c r="F120" s="13" t="s">
        <v>175</v>
      </c>
      <c r="G120" s="13" t="s">
        <v>38</v>
      </c>
      <c r="H120" s="14">
        <v>26.0</v>
      </c>
      <c r="I120" s="14">
        <f t="shared" si="4"/>
        <v>2</v>
      </c>
      <c r="J120" s="13" t="s">
        <v>27</v>
      </c>
      <c r="K120" s="13" t="s">
        <v>28</v>
      </c>
      <c r="L120" s="13" t="s">
        <v>28</v>
      </c>
      <c r="M120" s="13" t="s">
        <v>27</v>
      </c>
      <c r="N120" s="13" t="s">
        <v>29</v>
      </c>
      <c r="O120" s="13" t="s">
        <v>30</v>
      </c>
      <c r="P120" s="24" t="s">
        <v>33</v>
      </c>
      <c r="Q120" s="24" t="s">
        <v>33</v>
      </c>
      <c r="R120" s="24" t="s">
        <v>33</v>
      </c>
      <c r="S120" s="24" t="s">
        <v>33</v>
      </c>
      <c r="T120" s="13" t="s">
        <v>40</v>
      </c>
      <c r="U120" s="13" t="s">
        <v>32</v>
      </c>
    </row>
    <row r="121">
      <c r="A121" s="13" t="s">
        <v>420</v>
      </c>
      <c r="B121" s="20" t="s">
        <v>421</v>
      </c>
      <c r="C121" s="14">
        <v>8.9829151333E10</v>
      </c>
      <c r="D121" s="13" t="s">
        <v>23</v>
      </c>
      <c r="E121" s="13" t="s">
        <v>24</v>
      </c>
      <c r="F121" s="13" t="s">
        <v>25</v>
      </c>
      <c r="G121" s="13" t="s">
        <v>38</v>
      </c>
      <c r="H121" s="14">
        <v>48.0</v>
      </c>
      <c r="I121" s="14">
        <f t="shared" si="4"/>
        <v>3</v>
      </c>
      <c r="J121" s="13" t="s">
        <v>39</v>
      </c>
      <c r="K121" s="13" t="s">
        <v>39</v>
      </c>
      <c r="L121" s="13" t="s">
        <v>27</v>
      </c>
      <c r="M121" s="13" t="s">
        <v>28</v>
      </c>
      <c r="N121" s="13"/>
      <c r="O121" s="13"/>
      <c r="P121" s="13"/>
      <c r="Q121" s="13"/>
      <c r="R121" s="13" t="s">
        <v>40</v>
      </c>
      <c r="S121" s="13" t="s">
        <v>32</v>
      </c>
      <c r="T121" s="24" t="s">
        <v>33</v>
      </c>
      <c r="U121" s="24" t="s">
        <v>33</v>
      </c>
    </row>
    <row r="122">
      <c r="A122" s="13" t="s">
        <v>422</v>
      </c>
      <c r="B122" s="13" t="s">
        <v>423</v>
      </c>
      <c r="C122" s="14">
        <v>8.9234036597E10</v>
      </c>
      <c r="D122" s="13" t="s">
        <v>23</v>
      </c>
      <c r="E122" s="13" t="s">
        <v>47</v>
      </c>
      <c r="F122" s="13" t="s">
        <v>47</v>
      </c>
      <c r="G122" s="13" t="s">
        <v>38</v>
      </c>
      <c r="H122" s="14">
        <v>35.0</v>
      </c>
      <c r="I122" s="14">
        <f t="shared" si="4"/>
        <v>3</v>
      </c>
      <c r="J122" s="13" t="s">
        <v>27</v>
      </c>
      <c r="K122" s="13" t="s">
        <v>48</v>
      </c>
      <c r="L122" s="13" t="s">
        <v>27</v>
      </c>
      <c r="M122" s="13" t="s">
        <v>27</v>
      </c>
      <c r="N122" s="13" t="s">
        <v>40</v>
      </c>
      <c r="O122" s="13" t="s">
        <v>32</v>
      </c>
      <c r="P122" s="24" t="s">
        <v>33</v>
      </c>
      <c r="Q122" s="24" t="s">
        <v>33</v>
      </c>
      <c r="R122" s="13" t="s">
        <v>29</v>
      </c>
      <c r="S122" s="13" t="s">
        <v>31</v>
      </c>
      <c r="T122" s="13" t="s">
        <v>29</v>
      </c>
      <c r="U122" s="13" t="s">
        <v>31</v>
      </c>
    </row>
    <row r="123">
      <c r="A123" s="13" t="s">
        <v>424</v>
      </c>
      <c r="B123" s="20" t="s">
        <v>425</v>
      </c>
      <c r="C123" s="14">
        <v>8.9171791637E10</v>
      </c>
      <c r="D123" s="13" t="s">
        <v>23</v>
      </c>
      <c r="E123" s="13" t="s">
        <v>426</v>
      </c>
      <c r="F123" s="13" t="s">
        <v>73</v>
      </c>
      <c r="G123" s="13" t="s">
        <v>38</v>
      </c>
      <c r="H123" s="14">
        <v>27.0</v>
      </c>
      <c r="I123" s="14">
        <f t="shared" si="4"/>
        <v>3</v>
      </c>
      <c r="J123" s="13" t="s">
        <v>39</v>
      </c>
      <c r="K123" s="13" t="s">
        <v>27</v>
      </c>
      <c r="L123" s="13" t="s">
        <v>39</v>
      </c>
      <c r="M123" s="13" t="s">
        <v>48</v>
      </c>
      <c r="N123" s="13"/>
      <c r="O123" s="13"/>
      <c r="P123" s="13" t="s">
        <v>40</v>
      </c>
      <c r="Q123" s="13" t="s">
        <v>32</v>
      </c>
      <c r="R123" s="13"/>
      <c r="S123" s="13"/>
      <c r="T123" s="13"/>
      <c r="U123" s="13"/>
    </row>
    <row r="124">
      <c r="A124" s="13" t="s">
        <v>427</v>
      </c>
      <c r="B124" s="13" t="s">
        <v>428</v>
      </c>
      <c r="C124" s="14">
        <v>8.9196070227E10</v>
      </c>
      <c r="D124" s="13" t="s">
        <v>23</v>
      </c>
      <c r="E124" s="13" t="s">
        <v>131</v>
      </c>
      <c r="F124" s="13" t="s">
        <v>429</v>
      </c>
      <c r="G124" s="13" t="s">
        <v>26</v>
      </c>
      <c r="H124" s="14">
        <v>51.0</v>
      </c>
      <c r="I124" s="14">
        <f t="shared" si="4"/>
        <v>4</v>
      </c>
      <c r="J124" s="13" t="s">
        <v>27</v>
      </c>
      <c r="K124" s="13" t="s">
        <v>27</v>
      </c>
      <c r="L124" s="13" t="s">
        <v>27</v>
      </c>
      <c r="M124" s="13" t="s">
        <v>27</v>
      </c>
      <c r="N124" s="13" t="s">
        <v>40</v>
      </c>
      <c r="O124" s="13" t="s">
        <v>32</v>
      </c>
      <c r="P124" s="13" t="s">
        <v>29</v>
      </c>
      <c r="Q124" s="13" t="s">
        <v>30</v>
      </c>
      <c r="R124" s="13" t="s">
        <v>29</v>
      </c>
      <c r="S124" s="13" t="s">
        <v>31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8.986907922E10</v>
      </c>
      <c r="D125" s="13" t="s">
        <v>52</v>
      </c>
      <c r="E125" s="13" t="s">
        <v>84</v>
      </c>
      <c r="F125" s="13" t="s">
        <v>180</v>
      </c>
      <c r="G125" s="13" t="s">
        <v>26</v>
      </c>
      <c r="H125" s="14">
        <v>28.0</v>
      </c>
      <c r="I125" s="14">
        <f t="shared" si="4"/>
        <v>2</v>
      </c>
      <c r="J125" s="13" t="s">
        <v>27</v>
      </c>
      <c r="K125" s="13" t="s">
        <v>28</v>
      </c>
      <c r="L125" s="13" t="s">
        <v>28</v>
      </c>
      <c r="M125" s="13" t="s">
        <v>27</v>
      </c>
      <c r="N125" s="13" t="s">
        <v>40</v>
      </c>
      <c r="O125" s="13" t="s">
        <v>32</v>
      </c>
      <c r="P125" s="24" t="s">
        <v>33</v>
      </c>
      <c r="Q125" s="24" t="s">
        <v>33</v>
      </c>
      <c r="R125" s="24" t="s">
        <v>33</v>
      </c>
      <c r="S125" s="24" t="s">
        <v>33</v>
      </c>
      <c r="T125" s="13" t="s">
        <v>40</v>
      </c>
      <c r="U125" s="13" t="s">
        <v>32</v>
      </c>
    </row>
    <row r="126">
      <c r="A126" s="13" t="s">
        <v>432</v>
      </c>
      <c r="B126" s="20" t="s">
        <v>433</v>
      </c>
      <c r="C126" s="14">
        <v>8.9233503408E10</v>
      </c>
      <c r="D126" s="13" t="s">
        <v>23</v>
      </c>
      <c r="E126" s="13" t="s">
        <v>434</v>
      </c>
      <c r="F126" s="13" t="s">
        <v>143</v>
      </c>
      <c r="G126" s="13" t="s">
        <v>26</v>
      </c>
      <c r="H126" s="14">
        <v>29.0</v>
      </c>
      <c r="I126" s="14">
        <f t="shared" si="4"/>
        <v>3</v>
      </c>
      <c r="J126" s="13" t="s">
        <v>27</v>
      </c>
      <c r="K126" s="13" t="s">
        <v>27</v>
      </c>
      <c r="L126" s="13" t="s">
        <v>39</v>
      </c>
      <c r="M126" s="13" t="s">
        <v>28</v>
      </c>
      <c r="N126" s="13" t="s">
        <v>29</v>
      </c>
      <c r="O126" s="13" t="s">
        <v>30</v>
      </c>
      <c r="P126" s="13" t="s">
        <v>40</v>
      </c>
      <c r="Q126" s="13" t="s">
        <v>32</v>
      </c>
      <c r="R126" s="13"/>
      <c r="S126" s="13"/>
      <c r="T126" s="24" t="s">
        <v>33</v>
      </c>
      <c r="U126" s="24" t="s">
        <v>33</v>
      </c>
    </row>
    <row r="127">
      <c r="A127" s="13" t="s">
        <v>435</v>
      </c>
      <c r="B127" s="13" t="s">
        <v>436</v>
      </c>
      <c r="C127" s="14">
        <v>8.927607349E10</v>
      </c>
      <c r="D127" s="13" t="s">
        <v>23</v>
      </c>
      <c r="E127" s="13" t="s">
        <v>138</v>
      </c>
      <c r="F127" s="13" t="s">
        <v>139</v>
      </c>
      <c r="G127" s="13" t="s">
        <v>26</v>
      </c>
      <c r="H127" s="14">
        <v>26.0</v>
      </c>
      <c r="I127" s="14">
        <f t="shared" si="4"/>
        <v>4</v>
      </c>
      <c r="J127" s="13" t="s">
        <v>39</v>
      </c>
      <c r="K127" s="13" t="s">
        <v>27</v>
      </c>
      <c r="L127" s="13" t="s">
        <v>39</v>
      </c>
      <c r="M127" s="13" t="s">
        <v>39</v>
      </c>
      <c r="N127" s="13"/>
      <c r="O127" s="13"/>
      <c r="P127" s="13" t="s">
        <v>31</v>
      </c>
      <c r="Q127" s="13" t="s">
        <v>32</v>
      </c>
      <c r="R127" s="13"/>
      <c r="S127" s="13"/>
      <c r="T127" s="13"/>
      <c r="U127" s="13"/>
    </row>
    <row r="128">
      <c r="A128" s="13" t="s">
        <v>437</v>
      </c>
      <c r="B128" s="18" t="s">
        <v>438</v>
      </c>
      <c r="C128" s="14">
        <v>8.9967686968E10</v>
      </c>
      <c r="D128" s="13" t="s">
        <v>23</v>
      </c>
      <c r="E128" s="13" t="s">
        <v>439</v>
      </c>
      <c r="F128" s="13" t="s">
        <v>147</v>
      </c>
      <c r="G128" s="13" t="s">
        <v>38</v>
      </c>
      <c r="H128" s="14">
        <v>45.0</v>
      </c>
      <c r="I128" s="27">
        <v>4.0</v>
      </c>
      <c r="J128" s="13" t="s">
        <v>27</v>
      </c>
      <c r="K128" s="13" t="s">
        <v>27</v>
      </c>
      <c r="L128" s="13" t="s">
        <v>39</v>
      </c>
      <c r="M128" s="13" t="s">
        <v>27</v>
      </c>
      <c r="N128" s="13" t="s">
        <v>29</v>
      </c>
      <c r="O128" s="13" t="s">
        <v>31</v>
      </c>
      <c r="P128" s="13" t="s">
        <v>29</v>
      </c>
      <c r="Q128" s="13" t="s">
        <v>30</v>
      </c>
      <c r="R128" s="24" t="s">
        <v>33</v>
      </c>
      <c r="S128" s="24" t="s">
        <v>33</v>
      </c>
      <c r="T128" s="13" t="s">
        <v>31</v>
      </c>
      <c r="U128" s="13" t="s">
        <v>32</v>
      </c>
    </row>
    <row r="129">
      <c r="A129" s="13" t="s">
        <v>440</v>
      </c>
      <c r="B129" s="13" t="s">
        <v>441</v>
      </c>
      <c r="C129" s="14">
        <v>8.9061968689E10</v>
      </c>
      <c r="D129" s="13" t="s">
        <v>23</v>
      </c>
      <c r="E129" s="13" t="s">
        <v>275</v>
      </c>
      <c r="F129" s="13" t="s">
        <v>442</v>
      </c>
      <c r="G129" s="13" t="s">
        <v>26</v>
      </c>
      <c r="H129" s="14">
        <v>29.0</v>
      </c>
      <c r="I129" s="14">
        <f t="shared" ref="I129:I209" si="5">COUNTIF(J129:M129, "Да")+COUNTIF(J129:M129, "Запас")</f>
        <v>2</v>
      </c>
      <c r="J129" s="13" t="s">
        <v>28</v>
      </c>
      <c r="K129" s="13" t="s">
        <v>27</v>
      </c>
      <c r="L129" s="13" t="s">
        <v>27</v>
      </c>
      <c r="M129" s="13" t="s">
        <v>28</v>
      </c>
      <c r="N129" s="24" t="s">
        <v>33</v>
      </c>
      <c r="O129" s="24" t="s">
        <v>33</v>
      </c>
      <c r="P129" s="13"/>
      <c r="Q129" s="13"/>
      <c r="R129" s="13" t="s">
        <v>29</v>
      </c>
      <c r="S129" s="13" t="s">
        <v>30</v>
      </c>
      <c r="T129" s="24" t="s">
        <v>33</v>
      </c>
      <c r="U129" s="24" t="s">
        <v>33</v>
      </c>
    </row>
    <row r="130">
      <c r="A130" s="13" t="s">
        <v>443</v>
      </c>
      <c r="B130" s="20" t="s">
        <v>444</v>
      </c>
      <c r="C130" s="14">
        <v>8.9525293042E10</v>
      </c>
      <c r="D130" s="13" t="s">
        <v>52</v>
      </c>
      <c r="E130" s="13" t="s">
        <v>226</v>
      </c>
      <c r="F130" s="13" t="s">
        <v>227</v>
      </c>
      <c r="G130" s="13" t="s">
        <v>38</v>
      </c>
      <c r="H130" s="14">
        <v>20.0</v>
      </c>
      <c r="I130" s="14">
        <f t="shared" si="5"/>
        <v>3</v>
      </c>
      <c r="J130" s="13" t="s">
        <v>39</v>
      </c>
      <c r="K130" s="13" t="s">
        <v>28</v>
      </c>
      <c r="L130" s="13" t="s">
        <v>39</v>
      </c>
      <c r="M130" s="13" t="s">
        <v>27</v>
      </c>
      <c r="N130" s="13"/>
      <c r="O130" s="13"/>
      <c r="P130" s="24" t="s">
        <v>33</v>
      </c>
      <c r="Q130" s="24" t="s">
        <v>33</v>
      </c>
      <c r="R130" s="13"/>
      <c r="S130" s="13"/>
      <c r="T130" s="13" t="s">
        <v>31</v>
      </c>
      <c r="U130" s="13" t="s">
        <v>32</v>
      </c>
    </row>
    <row r="131">
      <c r="A131" s="13" t="s">
        <v>445</v>
      </c>
      <c r="B131" s="13" t="s">
        <v>446</v>
      </c>
      <c r="C131" s="14">
        <v>8.9680138063E10</v>
      </c>
      <c r="D131" s="13" t="s">
        <v>23</v>
      </c>
      <c r="E131" s="13" t="s">
        <v>241</v>
      </c>
      <c r="F131" s="13" t="s">
        <v>242</v>
      </c>
      <c r="G131" s="13" t="s">
        <v>26</v>
      </c>
      <c r="H131" s="14">
        <v>31.0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27</v>
      </c>
      <c r="N131" s="13"/>
      <c r="O131" s="13"/>
      <c r="P131" s="13" t="s">
        <v>29</v>
      </c>
      <c r="Q131" s="13" t="s">
        <v>31</v>
      </c>
      <c r="R131" s="13"/>
      <c r="S131" s="13"/>
      <c r="T131" s="13" t="s">
        <v>29</v>
      </c>
      <c r="U131" s="13" t="s">
        <v>30</v>
      </c>
    </row>
    <row r="132">
      <c r="A132" s="13" t="s">
        <v>447</v>
      </c>
      <c r="B132" s="13" t="s">
        <v>448</v>
      </c>
      <c r="C132" s="14">
        <v>8.9009053337E10</v>
      </c>
      <c r="D132" s="13" t="s">
        <v>23</v>
      </c>
      <c r="E132" s="13" t="s">
        <v>449</v>
      </c>
      <c r="F132" s="13" t="s">
        <v>450</v>
      </c>
      <c r="G132" s="13" t="s">
        <v>26</v>
      </c>
      <c r="H132" s="14">
        <v>39.0</v>
      </c>
      <c r="I132" s="14">
        <f t="shared" si="5"/>
        <v>4</v>
      </c>
      <c r="J132" s="13" t="s">
        <v>39</v>
      </c>
      <c r="K132" s="13" t="s">
        <v>27</v>
      </c>
      <c r="L132" s="13" t="s">
        <v>39</v>
      </c>
      <c r="M132" s="13" t="s">
        <v>39</v>
      </c>
      <c r="N132" s="24" t="s">
        <v>33</v>
      </c>
      <c r="O132" s="24" t="s">
        <v>33</v>
      </c>
      <c r="P132" s="13" t="s">
        <v>29</v>
      </c>
      <c r="Q132" s="13" t="s">
        <v>30</v>
      </c>
      <c r="R132" s="13"/>
      <c r="S132" s="13"/>
      <c r="T132" s="13"/>
      <c r="U132" s="13"/>
    </row>
    <row r="133">
      <c r="A133" s="13" t="s">
        <v>451</v>
      </c>
      <c r="B133" s="20" t="s">
        <v>452</v>
      </c>
      <c r="C133" s="14">
        <v>8.9043817591E10</v>
      </c>
      <c r="D133" s="13" t="s">
        <v>23</v>
      </c>
      <c r="E133" s="13" t="s">
        <v>453</v>
      </c>
      <c r="F133" s="13" t="s">
        <v>292</v>
      </c>
      <c r="G133" s="13" t="s">
        <v>38</v>
      </c>
      <c r="H133" s="14">
        <v>40.0</v>
      </c>
      <c r="I133" s="14">
        <f t="shared" si="5"/>
        <v>4</v>
      </c>
      <c r="J133" s="13" t="s">
        <v>27</v>
      </c>
      <c r="K133" s="13" t="s">
        <v>27</v>
      </c>
      <c r="L133" s="13" t="s">
        <v>27</v>
      </c>
      <c r="M133" s="13" t="s">
        <v>27</v>
      </c>
      <c r="N133" s="13" t="s">
        <v>29</v>
      </c>
      <c r="O133" s="13" t="s">
        <v>30</v>
      </c>
      <c r="P133" s="13" t="s">
        <v>40</v>
      </c>
      <c r="Q133" s="13" t="s">
        <v>32</v>
      </c>
      <c r="R133" s="13" t="s">
        <v>40</v>
      </c>
      <c r="S133" s="13" t="s">
        <v>32</v>
      </c>
      <c r="T133" s="13" t="s">
        <v>40</v>
      </c>
      <c r="U133" s="13" t="s">
        <v>32</v>
      </c>
    </row>
    <row r="134">
      <c r="A134" s="13" t="s">
        <v>454</v>
      </c>
      <c r="B134" s="13" t="s">
        <v>455</v>
      </c>
      <c r="C134" s="14">
        <v>8.9969233065E10</v>
      </c>
      <c r="D134" s="13" t="s">
        <v>23</v>
      </c>
      <c r="E134" s="13" t="s">
        <v>36</v>
      </c>
      <c r="F134" s="13" t="s">
        <v>456</v>
      </c>
      <c r="G134" s="13" t="s">
        <v>38</v>
      </c>
      <c r="H134" s="14">
        <v>28.0</v>
      </c>
      <c r="I134" s="14">
        <f t="shared" si="5"/>
        <v>2</v>
      </c>
      <c r="J134" s="13" t="s">
        <v>27</v>
      </c>
      <c r="K134" s="13" t="s">
        <v>48</v>
      </c>
      <c r="L134" s="13" t="s">
        <v>48</v>
      </c>
      <c r="M134" s="13" t="s">
        <v>27</v>
      </c>
      <c r="N134" s="13" t="s">
        <v>29</v>
      </c>
      <c r="O134" s="13" t="s">
        <v>31</v>
      </c>
      <c r="P134" s="24" t="s">
        <v>33</v>
      </c>
      <c r="Q134" s="24" t="s">
        <v>33</v>
      </c>
      <c r="R134" s="24" t="s">
        <v>33</v>
      </c>
      <c r="S134" s="24" t="s">
        <v>33</v>
      </c>
      <c r="T134" s="13" t="s">
        <v>29</v>
      </c>
      <c r="U134" s="13" t="s">
        <v>30</v>
      </c>
    </row>
    <row r="135">
      <c r="A135" s="13" t="s">
        <v>457</v>
      </c>
      <c r="B135" s="20" t="s">
        <v>458</v>
      </c>
      <c r="C135" s="14">
        <v>8.914152599E10</v>
      </c>
      <c r="D135" s="13" t="s">
        <v>23</v>
      </c>
      <c r="E135" s="13" t="s">
        <v>459</v>
      </c>
      <c r="F135" s="13" t="s">
        <v>460</v>
      </c>
      <c r="G135" s="13" t="s">
        <v>26</v>
      </c>
      <c r="H135" s="14">
        <v>44.0</v>
      </c>
      <c r="I135" s="14">
        <f t="shared" si="5"/>
        <v>3</v>
      </c>
      <c r="J135" s="13" t="s">
        <v>39</v>
      </c>
      <c r="K135" s="13" t="s">
        <v>39</v>
      </c>
      <c r="L135" s="13" t="s">
        <v>27</v>
      </c>
      <c r="M135" s="13" t="s">
        <v>48</v>
      </c>
      <c r="N135" s="13"/>
      <c r="O135" s="13"/>
      <c r="P135" s="13"/>
      <c r="Q135" s="13"/>
      <c r="R135" s="13" t="s">
        <v>31</v>
      </c>
      <c r="S135" s="13" t="s">
        <v>32</v>
      </c>
      <c r="T135" s="24" t="s">
        <v>33</v>
      </c>
      <c r="U135" s="24" t="s">
        <v>33</v>
      </c>
    </row>
    <row r="136">
      <c r="A136" s="13" t="s">
        <v>461</v>
      </c>
      <c r="B136" s="13" t="s">
        <v>462</v>
      </c>
      <c r="C136" s="14">
        <v>8.902783375E10</v>
      </c>
      <c r="D136" s="13" t="s">
        <v>23</v>
      </c>
      <c r="E136" s="13" t="s">
        <v>343</v>
      </c>
      <c r="F136" s="13" t="s">
        <v>463</v>
      </c>
      <c r="G136" s="13" t="s">
        <v>26</v>
      </c>
      <c r="H136" s="14">
        <v>55.0</v>
      </c>
      <c r="I136" s="14">
        <f t="shared" si="5"/>
        <v>3</v>
      </c>
      <c r="J136" s="13" t="s">
        <v>48</v>
      </c>
      <c r="K136" s="13" t="s">
        <v>27</v>
      </c>
      <c r="L136" s="13" t="s">
        <v>39</v>
      </c>
      <c r="M136" s="13" t="s">
        <v>39</v>
      </c>
      <c r="N136" s="24" t="s">
        <v>33</v>
      </c>
      <c r="O136" s="24" t="s">
        <v>33</v>
      </c>
      <c r="P136" s="13" t="s">
        <v>29</v>
      </c>
      <c r="Q136" s="13" t="s">
        <v>31</v>
      </c>
      <c r="R136" s="13"/>
      <c r="S136" s="13"/>
      <c r="T136" s="13"/>
      <c r="U136" s="13"/>
    </row>
    <row r="137">
      <c r="A137" s="13" t="s">
        <v>464</v>
      </c>
      <c r="B137" s="13" t="s">
        <v>465</v>
      </c>
      <c r="C137" s="14">
        <v>8.9536775789E10</v>
      </c>
      <c r="D137" s="13" t="s">
        <v>23</v>
      </c>
      <c r="E137" s="13" t="s">
        <v>466</v>
      </c>
      <c r="F137" s="13" t="s">
        <v>467</v>
      </c>
      <c r="G137" s="13" t="s">
        <v>26</v>
      </c>
      <c r="H137" s="14">
        <v>36.0</v>
      </c>
      <c r="I137" s="14">
        <f t="shared" si="5"/>
        <v>4</v>
      </c>
      <c r="J137" s="13" t="s">
        <v>27</v>
      </c>
      <c r="K137" s="13" t="s">
        <v>27</v>
      </c>
      <c r="L137" s="13" t="s">
        <v>39</v>
      </c>
      <c r="M137" s="13" t="s">
        <v>27</v>
      </c>
      <c r="N137" s="13" t="s">
        <v>40</v>
      </c>
      <c r="O137" s="13" t="s">
        <v>32</v>
      </c>
      <c r="P137" s="13" t="s">
        <v>40</v>
      </c>
      <c r="Q137" s="13" t="s">
        <v>32</v>
      </c>
      <c r="R137" s="13"/>
      <c r="S137" s="13"/>
      <c r="T137" s="13" t="s">
        <v>40</v>
      </c>
      <c r="U137" s="13" t="s">
        <v>32</v>
      </c>
    </row>
    <row r="138">
      <c r="A138" s="13" t="s">
        <v>468</v>
      </c>
      <c r="B138" s="13" t="s">
        <v>469</v>
      </c>
      <c r="C138" s="14">
        <v>8.9155929465E10</v>
      </c>
      <c r="D138" s="13" t="s">
        <v>23</v>
      </c>
      <c r="E138" s="13" t="s">
        <v>470</v>
      </c>
      <c r="F138" s="13" t="s">
        <v>359</v>
      </c>
      <c r="G138" s="13" t="s">
        <v>26</v>
      </c>
      <c r="H138" s="14">
        <v>54.0</v>
      </c>
      <c r="I138" s="14">
        <f t="shared" si="5"/>
        <v>2</v>
      </c>
      <c r="J138" s="13" t="s">
        <v>27</v>
      </c>
      <c r="K138" s="13" t="s">
        <v>48</v>
      </c>
      <c r="L138" s="13" t="s">
        <v>27</v>
      </c>
      <c r="M138" s="13" t="s">
        <v>48</v>
      </c>
      <c r="N138" s="13" t="s">
        <v>40</v>
      </c>
      <c r="O138" s="13" t="s">
        <v>32</v>
      </c>
      <c r="P138" s="24" t="s">
        <v>33</v>
      </c>
      <c r="Q138" s="24" t="s">
        <v>33</v>
      </c>
      <c r="R138" s="13" t="s">
        <v>29</v>
      </c>
      <c r="S138" s="13" t="s">
        <v>30</v>
      </c>
      <c r="T138" s="24" t="s">
        <v>33</v>
      </c>
      <c r="U138" s="24" t="s">
        <v>33</v>
      </c>
    </row>
    <row r="139">
      <c r="A139" s="13" t="s">
        <v>471</v>
      </c>
      <c r="B139" s="13" t="s">
        <v>472</v>
      </c>
      <c r="C139" s="14">
        <v>8.9278729101E10</v>
      </c>
      <c r="D139" s="13" t="s">
        <v>23</v>
      </c>
      <c r="E139" s="13" t="s">
        <v>473</v>
      </c>
      <c r="F139" s="13" t="s">
        <v>474</v>
      </c>
      <c r="G139" s="13" t="s">
        <v>26</v>
      </c>
      <c r="H139" s="14">
        <v>46.0</v>
      </c>
      <c r="I139" s="14">
        <f t="shared" si="5"/>
        <v>3</v>
      </c>
      <c r="J139" s="13" t="s">
        <v>27</v>
      </c>
      <c r="K139" s="13" t="s">
        <v>39</v>
      </c>
      <c r="L139" s="13" t="s">
        <v>48</v>
      </c>
      <c r="M139" s="13" t="s">
        <v>27</v>
      </c>
      <c r="N139" s="13" t="s">
        <v>40</v>
      </c>
      <c r="O139" s="13" t="s">
        <v>32</v>
      </c>
      <c r="P139" s="13"/>
      <c r="Q139" s="13"/>
      <c r="R139" s="24" t="s">
        <v>33</v>
      </c>
      <c r="S139" s="24" t="s">
        <v>33</v>
      </c>
      <c r="T139" s="13" t="s">
        <v>29</v>
      </c>
      <c r="U139" s="13" t="s">
        <v>30</v>
      </c>
    </row>
    <row r="140">
      <c r="A140" s="13" t="s">
        <v>475</v>
      </c>
      <c r="B140" s="13" t="s">
        <v>476</v>
      </c>
      <c r="C140" s="14">
        <v>8.9005539866E10</v>
      </c>
      <c r="D140" s="13" t="s">
        <v>23</v>
      </c>
      <c r="E140" s="13" t="s">
        <v>147</v>
      </c>
      <c r="F140" s="13" t="s">
        <v>147</v>
      </c>
      <c r="G140" s="13" t="s">
        <v>26</v>
      </c>
      <c r="H140" s="14">
        <v>32.0</v>
      </c>
      <c r="I140" s="14">
        <f t="shared" si="5"/>
        <v>4</v>
      </c>
      <c r="J140" s="13" t="s">
        <v>39</v>
      </c>
      <c r="K140" s="13" t="s">
        <v>39</v>
      </c>
      <c r="L140" s="13" t="s">
        <v>27</v>
      </c>
      <c r="M140" s="13" t="s">
        <v>27</v>
      </c>
      <c r="N140" s="13"/>
      <c r="O140" s="13"/>
      <c r="P140" s="13"/>
      <c r="Q140" s="13"/>
      <c r="R140" s="13" t="s">
        <v>40</v>
      </c>
      <c r="S140" s="13" t="s">
        <v>32</v>
      </c>
      <c r="T140" s="13" t="s">
        <v>40</v>
      </c>
      <c r="U140" s="13" t="s">
        <v>32</v>
      </c>
    </row>
    <row r="141">
      <c r="A141" s="13" t="s">
        <v>477</v>
      </c>
      <c r="B141" s="13" t="s">
        <v>478</v>
      </c>
      <c r="C141" s="14">
        <v>8.9640046593E10</v>
      </c>
      <c r="D141" s="13" t="s">
        <v>23</v>
      </c>
      <c r="E141" s="13" t="s">
        <v>479</v>
      </c>
      <c r="F141" s="13" t="s">
        <v>480</v>
      </c>
      <c r="G141" s="13" t="s">
        <v>26</v>
      </c>
      <c r="H141" s="14">
        <v>26.0</v>
      </c>
      <c r="I141" s="14">
        <f t="shared" si="5"/>
        <v>4</v>
      </c>
      <c r="J141" s="13" t="s">
        <v>27</v>
      </c>
      <c r="K141" s="13" t="s">
        <v>27</v>
      </c>
      <c r="L141" s="13" t="s">
        <v>27</v>
      </c>
      <c r="M141" s="13" t="s">
        <v>27</v>
      </c>
      <c r="N141" s="13" t="s">
        <v>31</v>
      </c>
      <c r="O141" s="13" t="s">
        <v>32</v>
      </c>
      <c r="P141" s="13" t="s">
        <v>40</v>
      </c>
      <c r="Q141" s="13" t="s">
        <v>32</v>
      </c>
      <c r="R141" s="13" t="s">
        <v>31</v>
      </c>
      <c r="S141" s="13" t="s">
        <v>32</v>
      </c>
      <c r="T141" s="13" t="s">
        <v>29</v>
      </c>
      <c r="U141" s="13" t="s">
        <v>31</v>
      </c>
    </row>
    <row r="142">
      <c r="A142" s="13" t="s">
        <v>481</v>
      </c>
      <c r="B142" s="13" t="s">
        <v>482</v>
      </c>
      <c r="C142" s="14">
        <v>8.9818441643E10</v>
      </c>
      <c r="D142" s="13" t="s">
        <v>52</v>
      </c>
      <c r="E142" s="13" t="s">
        <v>147</v>
      </c>
      <c r="F142" s="13" t="s">
        <v>147</v>
      </c>
      <c r="G142" s="13" t="s">
        <v>26</v>
      </c>
      <c r="H142" s="14">
        <v>30.0</v>
      </c>
      <c r="I142" s="14">
        <f t="shared" si="5"/>
        <v>2</v>
      </c>
      <c r="J142" s="13" t="s">
        <v>39</v>
      </c>
      <c r="K142" s="13" t="s">
        <v>48</v>
      </c>
      <c r="L142" s="13" t="s">
        <v>27</v>
      </c>
      <c r="M142" s="13" t="s">
        <v>48</v>
      </c>
      <c r="N142" s="13"/>
      <c r="O142" s="13"/>
      <c r="P142" s="24" t="s">
        <v>33</v>
      </c>
      <c r="Q142" s="24" t="s">
        <v>33</v>
      </c>
      <c r="R142" s="13" t="s">
        <v>40</v>
      </c>
      <c r="S142" s="13" t="s">
        <v>32</v>
      </c>
      <c r="T142" s="24" t="s">
        <v>33</v>
      </c>
      <c r="U142" s="24" t="s">
        <v>33</v>
      </c>
    </row>
    <row r="143">
      <c r="A143" s="13" t="s">
        <v>483</v>
      </c>
      <c r="B143" s="13" t="s">
        <v>484</v>
      </c>
      <c r="C143" s="14">
        <v>8.9281190239E10</v>
      </c>
      <c r="D143" s="13" t="s">
        <v>23</v>
      </c>
      <c r="E143" s="13" t="s">
        <v>485</v>
      </c>
      <c r="F143" s="13" t="s">
        <v>486</v>
      </c>
      <c r="G143" s="13" t="s">
        <v>26</v>
      </c>
      <c r="H143" s="14">
        <v>42.0</v>
      </c>
      <c r="I143" s="14">
        <f t="shared" si="5"/>
        <v>3</v>
      </c>
      <c r="J143" s="13" t="s">
        <v>27</v>
      </c>
      <c r="K143" s="13" t="s">
        <v>28</v>
      </c>
      <c r="L143" s="13" t="s">
        <v>27</v>
      </c>
      <c r="M143" s="13" t="s">
        <v>27</v>
      </c>
      <c r="N143" s="13" t="s">
        <v>40</v>
      </c>
      <c r="O143" s="13" t="s">
        <v>32</v>
      </c>
      <c r="P143" s="24" t="s">
        <v>33</v>
      </c>
      <c r="Q143" s="24" t="s">
        <v>33</v>
      </c>
      <c r="R143" s="13" t="s">
        <v>40</v>
      </c>
      <c r="S143" s="13" t="s">
        <v>32</v>
      </c>
      <c r="T143" s="13" t="s">
        <v>29</v>
      </c>
      <c r="U143" s="13" t="s">
        <v>30</v>
      </c>
    </row>
    <row r="144">
      <c r="A144" s="13" t="s">
        <v>487</v>
      </c>
      <c r="B144" s="13" t="s">
        <v>488</v>
      </c>
      <c r="C144" s="14">
        <v>8.9042105542E10</v>
      </c>
      <c r="D144" s="13" t="s">
        <v>52</v>
      </c>
      <c r="E144" s="13" t="s">
        <v>120</v>
      </c>
      <c r="F144" s="13" t="s">
        <v>121</v>
      </c>
      <c r="G144" s="13" t="s">
        <v>38</v>
      </c>
      <c r="H144" s="14">
        <v>37.0</v>
      </c>
      <c r="I144" s="14">
        <f t="shared" si="5"/>
        <v>4</v>
      </c>
      <c r="J144" s="13" t="s">
        <v>39</v>
      </c>
      <c r="K144" s="13" t="s">
        <v>27</v>
      </c>
      <c r="L144" s="13" t="s">
        <v>27</v>
      </c>
      <c r="M144" s="13" t="s">
        <v>27</v>
      </c>
      <c r="N144" s="13"/>
      <c r="O144" s="13"/>
      <c r="P144" s="13" t="s">
        <v>40</v>
      </c>
      <c r="Q144" s="13" t="s">
        <v>32</v>
      </c>
      <c r="R144" s="13" t="s">
        <v>31</v>
      </c>
      <c r="S144" s="13" t="s">
        <v>32</v>
      </c>
      <c r="T144" s="13" t="s">
        <v>29</v>
      </c>
      <c r="U144" s="13" t="s">
        <v>30</v>
      </c>
    </row>
    <row r="145">
      <c r="A145" s="13" t="s">
        <v>489</v>
      </c>
      <c r="B145" s="13" t="s">
        <v>490</v>
      </c>
      <c r="C145" s="14">
        <v>8.9786742029E10</v>
      </c>
      <c r="D145" s="13" t="s">
        <v>52</v>
      </c>
      <c r="E145" s="13" t="s">
        <v>491</v>
      </c>
      <c r="F145" s="13" t="s">
        <v>492</v>
      </c>
      <c r="G145" s="13" t="s">
        <v>38</v>
      </c>
      <c r="H145" s="14">
        <v>32.0</v>
      </c>
      <c r="I145" s="14">
        <f t="shared" si="5"/>
        <v>2</v>
      </c>
      <c r="J145" s="13" t="s">
        <v>27</v>
      </c>
      <c r="K145" s="13" t="s">
        <v>28</v>
      </c>
      <c r="L145" s="13" t="s">
        <v>28</v>
      </c>
      <c r="M145" s="13" t="s">
        <v>39</v>
      </c>
      <c r="N145" s="13" t="s">
        <v>40</v>
      </c>
      <c r="O145" s="13" t="s">
        <v>32</v>
      </c>
      <c r="P145" s="24" t="s">
        <v>33</v>
      </c>
      <c r="Q145" s="24" t="s">
        <v>33</v>
      </c>
      <c r="R145" s="24" t="s">
        <v>33</v>
      </c>
      <c r="S145" s="24" t="s">
        <v>33</v>
      </c>
      <c r="T145" s="13"/>
      <c r="U145" s="13"/>
    </row>
    <row r="146">
      <c r="A146" s="13" t="s">
        <v>493</v>
      </c>
      <c r="B146" s="20" t="s">
        <v>494</v>
      </c>
      <c r="C146" s="14">
        <v>8.900606158E10</v>
      </c>
      <c r="D146" s="13" t="s">
        <v>23</v>
      </c>
      <c r="E146" s="13" t="s">
        <v>359</v>
      </c>
      <c r="F146" s="13" t="s">
        <v>359</v>
      </c>
      <c r="G146" s="13" t="s">
        <v>38</v>
      </c>
      <c r="H146" s="14">
        <v>26.0</v>
      </c>
      <c r="I146" s="14">
        <f t="shared" si="5"/>
        <v>2</v>
      </c>
      <c r="J146" s="13" t="s">
        <v>27</v>
      </c>
      <c r="K146" s="13" t="s">
        <v>39</v>
      </c>
      <c r="L146" s="13" t="s">
        <v>28</v>
      </c>
      <c r="M146" s="13" t="s">
        <v>28</v>
      </c>
      <c r="N146" s="13" t="s">
        <v>40</v>
      </c>
      <c r="O146" s="13" t="s">
        <v>32</v>
      </c>
      <c r="P146" s="13"/>
      <c r="Q146" s="13"/>
      <c r="R146" s="24" t="s">
        <v>33</v>
      </c>
      <c r="S146" s="24" t="s">
        <v>33</v>
      </c>
      <c r="T146" s="24" t="s">
        <v>33</v>
      </c>
      <c r="U146" s="24" t="s">
        <v>33</v>
      </c>
    </row>
    <row r="147">
      <c r="A147" s="13" t="s">
        <v>495</v>
      </c>
      <c r="B147" s="20" t="s">
        <v>496</v>
      </c>
      <c r="C147" s="14">
        <v>8.9504479502E10</v>
      </c>
      <c r="D147" s="13" t="s">
        <v>52</v>
      </c>
      <c r="E147" s="13" t="s">
        <v>497</v>
      </c>
      <c r="F147" s="13" t="s">
        <v>336</v>
      </c>
      <c r="G147" s="13" t="s">
        <v>38</v>
      </c>
      <c r="H147" s="14">
        <v>39.0</v>
      </c>
      <c r="I147" s="14">
        <f t="shared" si="5"/>
        <v>4</v>
      </c>
      <c r="J147" s="13" t="s">
        <v>27</v>
      </c>
      <c r="K147" s="13" t="s">
        <v>27</v>
      </c>
      <c r="L147" s="13" t="s">
        <v>27</v>
      </c>
      <c r="M147" s="13" t="s">
        <v>27</v>
      </c>
      <c r="N147" s="13" t="s">
        <v>29</v>
      </c>
      <c r="O147" s="13" t="s">
        <v>30</v>
      </c>
      <c r="P147" s="13" t="s">
        <v>31</v>
      </c>
      <c r="Q147" s="13" t="s">
        <v>32</v>
      </c>
      <c r="R147" s="13" t="s">
        <v>40</v>
      </c>
      <c r="S147" s="13" t="s">
        <v>32</v>
      </c>
      <c r="T147" s="24" t="s">
        <v>33</v>
      </c>
      <c r="U147" s="24" t="s">
        <v>33</v>
      </c>
    </row>
    <row r="148">
      <c r="A148" s="13" t="s">
        <v>498</v>
      </c>
      <c r="B148" s="20" t="s">
        <v>499</v>
      </c>
      <c r="C148" s="14">
        <v>8.9376248031E10</v>
      </c>
      <c r="D148" s="13" t="s">
        <v>23</v>
      </c>
      <c r="E148" s="13" t="s">
        <v>84</v>
      </c>
      <c r="F148" s="13" t="s">
        <v>180</v>
      </c>
      <c r="G148" s="13" t="s">
        <v>38</v>
      </c>
      <c r="H148" s="14">
        <v>19.0</v>
      </c>
      <c r="I148" s="14">
        <f t="shared" si="5"/>
        <v>4</v>
      </c>
      <c r="J148" s="13" t="s">
        <v>39</v>
      </c>
      <c r="K148" s="13" t="s">
        <v>27</v>
      </c>
      <c r="L148" s="13" t="s">
        <v>39</v>
      </c>
      <c r="M148" s="13" t="s">
        <v>27</v>
      </c>
      <c r="N148" s="13"/>
      <c r="O148" s="13"/>
      <c r="P148" s="13" t="s">
        <v>29</v>
      </c>
      <c r="Q148" s="13" t="s">
        <v>30</v>
      </c>
      <c r="R148" s="13"/>
      <c r="S148" s="13"/>
      <c r="T148" s="13" t="s">
        <v>29</v>
      </c>
      <c r="U148" s="13" t="s">
        <v>31</v>
      </c>
    </row>
    <row r="149">
      <c r="A149" s="13" t="s">
        <v>500</v>
      </c>
      <c r="B149" s="13" t="s">
        <v>501</v>
      </c>
      <c r="C149" s="14">
        <v>8.9377894952E10</v>
      </c>
      <c r="D149" s="13" t="s">
        <v>23</v>
      </c>
      <c r="E149" s="13" t="s">
        <v>84</v>
      </c>
      <c r="F149" s="13" t="s">
        <v>180</v>
      </c>
      <c r="G149" s="13" t="s">
        <v>38</v>
      </c>
      <c r="H149" s="14">
        <v>20.0</v>
      </c>
      <c r="I149" s="14">
        <f t="shared" si="5"/>
        <v>4</v>
      </c>
      <c r="J149" s="13" t="s">
        <v>39</v>
      </c>
      <c r="K149" s="13" t="s">
        <v>27</v>
      </c>
      <c r="L149" s="13" t="s">
        <v>39</v>
      </c>
      <c r="M149" s="13" t="s">
        <v>39</v>
      </c>
      <c r="N149" s="13"/>
      <c r="O149" s="13"/>
      <c r="P149" s="13" t="s">
        <v>40</v>
      </c>
      <c r="Q149" s="13" t="s">
        <v>32</v>
      </c>
      <c r="R149" s="13"/>
      <c r="S149" s="13"/>
      <c r="T149" s="13"/>
      <c r="U149" s="13"/>
    </row>
    <row r="150">
      <c r="A150" s="13" t="s">
        <v>502</v>
      </c>
      <c r="B150" s="13" t="s">
        <v>503</v>
      </c>
      <c r="C150" s="14">
        <v>8.9062467575E10</v>
      </c>
      <c r="D150" s="13" t="s">
        <v>23</v>
      </c>
      <c r="E150" s="13" t="s">
        <v>147</v>
      </c>
      <c r="F150" s="13" t="s">
        <v>147</v>
      </c>
      <c r="G150" s="13" t="s">
        <v>38</v>
      </c>
      <c r="H150" s="14">
        <v>50.0</v>
      </c>
      <c r="I150" s="14">
        <f t="shared" si="5"/>
        <v>3</v>
      </c>
      <c r="J150" s="13" t="s">
        <v>27</v>
      </c>
      <c r="K150" s="13" t="s">
        <v>27</v>
      </c>
      <c r="L150" s="13" t="s">
        <v>28</v>
      </c>
      <c r="M150" s="13" t="s">
        <v>27</v>
      </c>
      <c r="N150" s="13" t="s">
        <v>40</v>
      </c>
      <c r="O150" s="13" t="s">
        <v>32</v>
      </c>
      <c r="P150" s="13" t="s">
        <v>31</v>
      </c>
      <c r="Q150" s="13" t="s">
        <v>32</v>
      </c>
      <c r="R150" s="24" t="s">
        <v>33</v>
      </c>
      <c r="S150" s="24" t="s">
        <v>33</v>
      </c>
      <c r="T150" s="13" t="s">
        <v>31</v>
      </c>
      <c r="U150" s="13" t="s">
        <v>32</v>
      </c>
    </row>
    <row r="151">
      <c r="A151" s="13" t="s">
        <v>504</v>
      </c>
      <c r="B151" s="20" t="s">
        <v>505</v>
      </c>
      <c r="C151" s="14">
        <v>8.9254200879E10</v>
      </c>
      <c r="D151" s="13" t="s">
        <v>52</v>
      </c>
      <c r="E151" s="13" t="s">
        <v>506</v>
      </c>
      <c r="F151" s="13" t="s">
        <v>77</v>
      </c>
      <c r="G151" s="13" t="s">
        <v>38</v>
      </c>
      <c r="H151" s="14">
        <v>33.0</v>
      </c>
      <c r="I151" s="14">
        <f t="shared" si="5"/>
        <v>2</v>
      </c>
      <c r="J151" s="13" t="s">
        <v>27</v>
      </c>
      <c r="K151" s="13" t="s">
        <v>28</v>
      </c>
      <c r="L151" s="13" t="s">
        <v>27</v>
      </c>
      <c r="M151" s="13" t="s">
        <v>28</v>
      </c>
      <c r="N151" s="13" t="s">
        <v>40</v>
      </c>
      <c r="O151" s="13" t="s">
        <v>32</v>
      </c>
      <c r="P151" s="24" t="s">
        <v>33</v>
      </c>
      <c r="Q151" s="24" t="s">
        <v>33</v>
      </c>
      <c r="R151" s="13" t="s">
        <v>40</v>
      </c>
      <c r="S151" s="13" t="s">
        <v>32</v>
      </c>
      <c r="T151" s="24" t="s">
        <v>33</v>
      </c>
      <c r="U151" s="24" t="s">
        <v>33</v>
      </c>
    </row>
    <row r="152">
      <c r="A152" s="13" t="s">
        <v>507</v>
      </c>
      <c r="B152" s="20" t="s">
        <v>508</v>
      </c>
      <c r="C152" s="14">
        <v>8.9999822516E10</v>
      </c>
      <c r="D152" s="13" t="s">
        <v>23</v>
      </c>
      <c r="E152" s="13" t="s">
        <v>77</v>
      </c>
      <c r="F152" s="13" t="s">
        <v>77</v>
      </c>
      <c r="G152" s="13" t="s">
        <v>38</v>
      </c>
      <c r="H152" s="14">
        <v>27.0</v>
      </c>
      <c r="I152" s="14">
        <f t="shared" si="5"/>
        <v>4</v>
      </c>
      <c r="J152" s="13" t="s">
        <v>39</v>
      </c>
      <c r="K152" s="13" t="s">
        <v>27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40</v>
      </c>
      <c r="U152" s="13" t="s">
        <v>32</v>
      </c>
    </row>
    <row r="153">
      <c r="A153" s="13" t="s">
        <v>509</v>
      </c>
      <c r="B153" s="20" t="s">
        <v>510</v>
      </c>
      <c r="C153" s="14">
        <v>8.9063478626E10</v>
      </c>
      <c r="D153" s="13" t="s">
        <v>23</v>
      </c>
      <c r="E153" s="13" t="s">
        <v>160</v>
      </c>
      <c r="F153" s="13" t="s">
        <v>139</v>
      </c>
      <c r="G153" s="13" t="s">
        <v>26</v>
      </c>
      <c r="H153" s="14">
        <v>24.0</v>
      </c>
      <c r="I153" s="14">
        <f t="shared" si="5"/>
        <v>4</v>
      </c>
      <c r="J153" s="13" t="s">
        <v>39</v>
      </c>
      <c r="K153" s="13" t="s">
        <v>27</v>
      </c>
      <c r="L153" s="13" t="s">
        <v>39</v>
      </c>
      <c r="M153" s="13" t="s">
        <v>39</v>
      </c>
      <c r="N153" s="13"/>
      <c r="O153" s="13"/>
      <c r="P153" s="13" t="s">
        <v>29</v>
      </c>
      <c r="Q153" s="13" t="s">
        <v>31</v>
      </c>
      <c r="R153" s="13"/>
      <c r="S153" s="13"/>
      <c r="T153" s="13"/>
      <c r="U153" s="13"/>
    </row>
    <row r="154">
      <c r="A154" s="13" t="s">
        <v>511</v>
      </c>
      <c r="B154" s="13" t="s">
        <v>512</v>
      </c>
      <c r="C154" s="14">
        <v>8.9370280509E10</v>
      </c>
      <c r="D154" s="13" t="s">
        <v>23</v>
      </c>
      <c r="E154" s="13" t="s">
        <v>202</v>
      </c>
      <c r="F154" s="13" t="s">
        <v>513</v>
      </c>
      <c r="G154" s="13" t="s">
        <v>38</v>
      </c>
      <c r="H154" s="14">
        <v>33.0</v>
      </c>
      <c r="I154" s="14">
        <f t="shared" si="5"/>
        <v>4</v>
      </c>
      <c r="J154" s="13" t="s">
        <v>39</v>
      </c>
      <c r="K154" s="13" t="s">
        <v>39</v>
      </c>
      <c r="L154" s="13" t="s">
        <v>27</v>
      </c>
      <c r="M154" s="13" t="s">
        <v>27</v>
      </c>
      <c r="N154" s="13"/>
      <c r="O154" s="13"/>
      <c r="P154" s="13"/>
      <c r="Q154" s="13"/>
      <c r="R154" s="13" t="s">
        <v>29</v>
      </c>
      <c r="S154" s="13" t="s">
        <v>30</v>
      </c>
      <c r="T154" s="13" t="s">
        <v>29</v>
      </c>
      <c r="U154" s="13" t="s">
        <v>30</v>
      </c>
    </row>
    <row r="155">
      <c r="A155" s="13" t="s">
        <v>514</v>
      </c>
      <c r="B155" s="20" t="s">
        <v>515</v>
      </c>
      <c r="C155" s="14">
        <v>8.9082514848E10</v>
      </c>
      <c r="D155" s="13" t="s">
        <v>23</v>
      </c>
      <c r="E155" s="13" t="s">
        <v>497</v>
      </c>
      <c r="F155" s="13" t="s">
        <v>516</v>
      </c>
      <c r="G155" s="13" t="s">
        <v>38</v>
      </c>
      <c r="H155" s="14">
        <v>31.0</v>
      </c>
      <c r="I155" s="14">
        <f t="shared" si="5"/>
        <v>3</v>
      </c>
      <c r="J155" s="13" t="s">
        <v>48</v>
      </c>
      <c r="K155" s="13" t="s">
        <v>27</v>
      </c>
      <c r="L155" s="13" t="s">
        <v>39</v>
      </c>
      <c r="M155" s="13" t="s">
        <v>27</v>
      </c>
      <c r="N155" s="24" t="s">
        <v>33</v>
      </c>
      <c r="O155" s="24" t="s">
        <v>33</v>
      </c>
      <c r="P155" s="13" t="s">
        <v>29</v>
      </c>
      <c r="Q155" s="13" t="s">
        <v>31</v>
      </c>
      <c r="R155" s="13"/>
      <c r="S155" s="13"/>
      <c r="T155" s="13" t="s">
        <v>29</v>
      </c>
      <c r="U155" s="13" t="s">
        <v>30</v>
      </c>
    </row>
    <row r="156">
      <c r="A156" s="13" t="s">
        <v>517</v>
      </c>
      <c r="B156" s="13" t="s">
        <v>518</v>
      </c>
      <c r="C156" s="14">
        <v>8.9200106562E10</v>
      </c>
      <c r="D156" s="13" t="s">
        <v>23</v>
      </c>
      <c r="E156" s="13" t="s">
        <v>343</v>
      </c>
      <c r="F156" s="13" t="s">
        <v>100</v>
      </c>
      <c r="G156" s="13" t="s">
        <v>38</v>
      </c>
      <c r="H156" s="14">
        <v>35.0</v>
      </c>
      <c r="I156" s="14">
        <f t="shared" si="5"/>
        <v>2</v>
      </c>
      <c r="J156" s="13" t="s">
        <v>39</v>
      </c>
      <c r="K156" s="13" t="s">
        <v>28</v>
      </c>
      <c r="L156" s="13" t="s">
        <v>27</v>
      </c>
      <c r="M156" s="13" t="s">
        <v>28</v>
      </c>
      <c r="N156" s="13"/>
      <c r="O156" s="13"/>
      <c r="P156" s="24" t="s">
        <v>33</v>
      </c>
      <c r="Q156" s="24" t="s">
        <v>33</v>
      </c>
      <c r="R156" s="13" t="s">
        <v>29</v>
      </c>
      <c r="S156" s="13" t="s">
        <v>30</v>
      </c>
      <c r="T156" s="24" t="s">
        <v>33</v>
      </c>
      <c r="U156" s="24" t="s">
        <v>33</v>
      </c>
    </row>
    <row r="157">
      <c r="A157" s="13" t="s">
        <v>519</v>
      </c>
      <c r="B157" s="13" t="s">
        <v>520</v>
      </c>
      <c r="C157" s="14">
        <v>8.9647238483E10</v>
      </c>
      <c r="D157" s="13" t="s">
        <v>23</v>
      </c>
      <c r="E157" s="13" t="s">
        <v>77</v>
      </c>
      <c r="F157" s="13" t="s">
        <v>77</v>
      </c>
      <c r="G157" s="13" t="s">
        <v>26</v>
      </c>
      <c r="H157" s="14">
        <v>31.0</v>
      </c>
      <c r="I157" s="14">
        <f t="shared" si="5"/>
        <v>4</v>
      </c>
      <c r="J157" s="13" t="s">
        <v>27</v>
      </c>
      <c r="K157" s="13" t="s">
        <v>39</v>
      </c>
      <c r="L157" s="13" t="s">
        <v>39</v>
      </c>
      <c r="M157" s="13" t="s">
        <v>39</v>
      </c>
      <c r="N157" s="13" t="s">
        <v>31</v>
      </c>
      <c r="O157" s="13" t="s">
        <v>32</v>
      </c>
      <c r="P157" s="13"/>
      <c r="Q157" s="13"/>
      <c r="R157" s="13"/>
      <c r="S157" s="13"/>
      <c r="T157" s="13"/>
      <c r="U157" s="13"/>
    </row>
    <row r="158">
      <c r="A158" s="13" t="s">
        <v>521</v>
      </c>
      <c r="B158" s="13" t="s">
        <v>522</v>
      </c>
      <c r="C158" s="14">
        <v>8.9530897291E10</v>
      </c>
      <c r="D158" s="13" t="s">
        <v>52</v>
      </c>
      <c r="E158" s="13" t="s">
        <v>523</v>
      </c>
      <c r="F158" s="13" t="s">
        <v>524</v>
      </c>
      <c r="G158" s="13" t="s">
        <v>26</v>
      </c>
      <c r="H158" s="14">
        <v>39.0</v>
      </c>
      <c r="I158" s="14">
        <f t="shared" si="5"/>
        <v>3</v>
      </c>
      <c r="J158" s="13" t="s">
        <v>27</v>
      </c>
      <c r="K158" s="13" t="s">
        <v>39</v>
      </c>
      <c r="L158" s="13" t="s">
        <v>27</v>
      </c>
      <c r="M158" s="13" t="s">
        <v>28</v>
      </c>
      <c r="N158" s="13" t="s">
        <v>40</v>
      </c>
      <c r="O158" s="13" t="s">
        <v>32</v>
      </c>
      <c r="P158" s="13"/>
      <c r="Q158" s="13"/>
      <c r="R158" s="13" t="s">
        <v>40</v>
      </c>
      <c r="S158" s="13" t="s">
        <v>32</v>
      </c>
      <c r="T158" s="24" t="s">
        <v>33</v>
      </c>
      <c r="U158" s="24" t="s">
        <v>33</v>
      </c>
    </row>
    <row r="159">
      <c r="A159" s="13" t="s">
        <v>525</v>
      </c>
      <c r="B159" s="13" t="s">
        <v>526</v>
      </c>
      <c r="C159" s="14">
        <v>8.9057841817E10</v>
      </c>
      <c r="D159" s="13" t="s">
        <v>23</v>
      </c>
      <c r="E159" s="13" t="s">
        <v>77</v>
      </c>
      <c r="F159" s="13" t="s">
        <v>527</v>
      </c>
      <c r="G159" s="13" t="s">
        <v>38</v>
      </c>
      <c r="H159" s="14">
        <v>41.0</v>
      </c>
      <c r="I159" s="14">
        <f t="shared" si="5"/>
        <v>3</v>
      </c>
      <c r="J159" s="13" t="s">
        <v>27</v>
      </c>
      <c r="K159" s="13" t="s">
        <v>27</v>
      </c>
      <c r="L159" s="13" t="s">
        <v>28</v>
      </c>
      <c r="M159" s="13" t="s">
        <v>27</v>
      </c>
      <c r="N159" s="13" t="s">
        <v>40</v>
      </c>
      <c r="O159" s="13" t="s">
        <v>32</v>
      </c>
      <c r="P159" s="13"/>
      <c r="Q159" s="13"/>
      <c r="R159" s="24" t="s">
        <v>33</v>
      </c>
      <c r="S159" s="24" t="s">
        <v>33</v>
      </c>
      <c r="T159" s="13" t="s">
        <v>29</v>
      </c>
      <c r="U159" s="13" t="s">
        <v>30</v>
      </c>
    </row>
    <row r="160">
      <c r="A160" s="13" t="s">
        <v>528</v>
      </c>
      <c r="B160" s="13" t="s">
        <v>529</v>
      </c>
      <c r="C160" s="14">
        <v>8.9998246317E10</v>
      </c>
      <c r="D160" s="13" t="s">
        <v>52</v>
      </c>
      <c r="E160" s="13" t="s">
        <v>36</v>
      </c>
      <c r="F160" s="13" t="s">
        <v>37</v>
      </c>
      <c r="G160" s="13" t="s">
        <v>26</v>
      </c>
      <c r="H160" s="14">
        <v>28.0</v>
      </c>
      <c r="I160" s="14">
        <f t="shared" si="5"/>
        <v>2</v>
      </c>
      <c r="J160" s="13" t="s">
        <v>27</v>
      </c>
      <c r="K160" s="13" t="s">
        <v>48</v>
      </c>
      <c r="L160" s="13" t="s">
        <v>27</v>
      </c>
      <c r="M160" s="13" t="s">
        <v>48</v>
      </c>
      <c r="N160" s="13" t="s">
        <v>29</v>
      </c>
      <c r="O160" s="13" t="s">
        <v>31</v>
      </c>
      <c r="P160" s="24" t="s">
        <v>33</v>
      </c>
      <c r="Q160" s="24" t="s">
        <v>33</v>
      </c>
      <c r="R160" s="13" t="s">
        <v>29</v>
      </c>
      <c r="S160" s="13" t="s">
        <v>31</v>
      </c>
      <c r="T160" s="24" t="s">
        <v>33</v>
      </c>
      <c r="U160" s="24" t="s">
        <v>33</v>
      </c>
    </row>
    <row r="161">
      <c r="A161" s="13" t="s">
        <v>530</v>
      </c>
      <c r="B161" s="20" t="s">
        <v>531</v>
      </c>
      <c r="C161" s="14">
        <v>8.9122122008E10</v>
      </c>
      <c r="D161" s="13" t="s">
        <v>23</v>
      </c>
      <c r="E161" s="13" t="s">
        <v>453</v>
      </c>
      <c r="F161" s="13" t="s">
        <v>292</v>
      </c>
      <c r="G161" s="13" t="s">
        <v>38</v>
      </c>
      <c r="H161" s="14">
        <v>32.0</v>
      </c>
      <c r="I161" s="14">
        <f t="shared" si="5"/>
        <v>3</v>
      </c>
      <c r="J161" s="13" t="s">
        <v>39</v>
      </c>
      <c r="K161" s="13" t="s">
        <v>28</v>
      </c>
      <c r="L161" s="13" t="s">
        <v>27</v>
      </c>
      <c r="M161" s="13" t="s">
        <v>27</v>
      </c>
      <c r="N161" s="24" t="s">
        <v>33</v>
      </c>
      <c r="O161" s="24" t="s">
        <v>33</v>
      </c>
      <c r="P161" s="24" t="s">
        <v>33</v>
      </c>
      <c r="Q161" s="24" t="s">
        <v>33</v>
      </c>
      <c r="R161" s="13" t="s">
        <v>40</v>
      </c>
      <c r="S161" s="13" t="s">
        <v>32</v>
      </c>
      <c r="T161" s="13" t="s">
        <v>40</v>
      </c>
      <c r="U161" s="13" t="s">
        <v>32</v>
      </c>
    </row>
    <row r="162">
      <c r="A162" s="13" t="s">
        <v>532</v>
      </c>
      <c r="B162" s="20" t="s">
        <v>533</v>
      </c>
      <c r="C162" s="14">
        <v>8.9030939903E10</v>
      </c>
      <c r="D162" s="13" t="s">
        <v>23</v>
      </c>
      <c r="E162" s="13" t="s">
        <v>164</v>
      </c>
      <c r="F162" s="13" t="s">
        <v>164</v>
      </c>
      <c r="G162" s="13" t="s">
        <v>38</v>
      </c>
      <c r="H162" s="14">
        <v>39.0</v>
      </c>
      <c r="I162" s="14">
        <f t="shared" si="5"/>
        <v>4</v>
      </c>
      <c r="J162" s="13" t="s">
        <v>39</v>
      </c>
      <c r="K162" s="13" t="s">
        <v>27</v>
      </c>
      <c r="L162" s="13" t="s">
        <v>27</v>
      </c>
      <c r="M162" s="13" t="s">
        <v>27</v>
      </c>
      <c r="N162" s="13"/>
      <c r="O162" s="13"/>
      <c r="P162" s="13" t="s">
        <v>29</v>
      </c>
      <c r="Q162" s="13" t="s">
        <v>30</v>
      </c>
      <c r="R162" s="13" t="s">
        <v>40</v>
      </c>
      <c r="S162" s="13" t="s">
        <v>32</v>
      </c>
      <c r="T162" s="13" t="s">
        <v>40</v>
      </c>
      <c r="U162" s="13" t="s">
        <v>32</v>
      </c>
    </row>
    <row r="163">
      <c r="A163" s="13" t="s">
        <v>534</v>
      </c>
      <c r="B163" s="13" t="s">
        <v>535</v>
      </c>
      <c r="C163" s="14">
        <v>8.9872341275E10</v>
      </c>
      <c r="D163" s="13" t="s">
        <v>23</v>
      </c>
      <c r="E163" s="13" t="s">
        <v>96</v>
      </c>
      <c r="F163" s="13" t="s">
        <v>536</v>
      </c>
      <c r="G163" s="13" t="s">
        <v>26</v>
      </c>
      <c r="H163" s="14">
        <v>49.0</v>
      </c>
      <c r="I163" s="14">
        <f t="shared" si="5"/>
        <v>4</v>
      </c>
      <c r="J163" s="13" t="s">
        <v>39</v>
      </c>
      <c r="K163" s="13" t="s">
        <v>27</v>
      </c>
      <c r="L163" s="13" t="s">
        <v>39</v>
      </c>
      <c r="M163" s="13" t="s">
        <v>39</v>
      </c>
      <c r="N163" s="13"/>
      <c r="O163" s="13"/>
      <c r="P163" s="13" t="s">
        <v>40</v>
      </c>
      <c r="Q163" s="13" t="s">
        <v>32</v>
      </c>
      <c r="R163" s="13"/>
      <c r="S163" s="13"/>
      <c r="T163" s="13"/>
      <c r="U163" s="13"/>
    </row>
    <row r="164">
      <c r="A164" s="13" t="s">
        <v>537</v>
      </c>
      <c r="B164" s="13"/>
      <c r="C164" s="13"/>
      <c r="D164" s="13"/>
      <c r="E164" s="13"/>
      <c r="F164" s="13"/>
      <c r="G164" s="13"/>
      <c r="H164" s="13"/>
      <c r="I164" s="14">
        <f t="shared" si="5"/>
        <v>0</v>
      </c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</row>
    <row r="165">
      <c r="A165" s="13" t="s">
        <v>538</v>
      </c>
      <c r="B165" s="20" t="s">
        <v>539</v>
      </c>
      <c r="C165" s="14">
        <v>8.9022506257E10</v>
      </c>
      <c r="D165" s="13" t="s">
        <v>23</v>
      </c>
      <c r="E165" s="13" t="s">
        <v>540</v>
      </c>
      <c r="F165" s="13" t="s">
        <v>541</v>
      </c>
      <c r="G165" s="13" t="s">
        <v>26</v>
      </c>
      <c r="H165" s="14">
        <v>42.0</v>
      </c>
      <c r="I165" s="14">
        <f t="shared" si="5"/>
        <v>3</v>
      </c>
      <c r="J165" s="13" t="s">
        <v>48</v>
      </c>
      <c r="K165" s="13" t="s">
        <v>39</v>
      </c>
      <c r="L165" s="13" t="s">
        <v>27</v>
      </c>
      <c r="M165" s="13" t="s">
        <v>39</v>
      </c>
      <c r="N165" s="24" t="s">
        <v>33</v>
      </c>
      <c r="O165" s="24" t="s">
        <v>33</v>
      </c>
      <c r="P165" s="13"/>
      <c r="Q165" s="13"/>
      <c r="R165" s="13" t="s">
        <v>29</v>
      </c>
      <c r="S165" s="13" t="s">
        <v>30</v>
      </c>
      <c r="T165" s="13"/>
      <c r="U165" s="13"/>
    </row>
    <row r="166">
      <c r="A166" s="13" t="s">
        <v>542</v>
      </c>
      <c r="B166" s="13" t="s">
        <v>543</v>
      </c>
      <c r="C166" s="14">
        <v>8.9850554712E10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39.0</v>
      </c>
      <c r="I166" s="14">
        <f t="shared" si="5"/>
        <v>3</v>
      </c>
      <c r="J166" s="13" t="s">
        <v>39</v>
      </c>
      <c r="K166" s="13" t="s">
        <v>27</v>
      </c>
      <c r="L166" s="13" t="s">
        <v>39</v>
      </c>
      <c r="M166" s="13" t="s">
        <v>48</v>
      </c>
      <c r="N166" s="13"/>
      <c r="O166" s="13"/>
      <c r="P166" s="13" t="s">
        <v>29</v>
      </c>
      <c r="Q166" s="13" t="s">
        <v>30</v>
      </c>
      <c r="R166" s="13"/>
      <c r="S166" s="13"/>
      <c r="T166" s="13"/>
      <c r="U166" s="13"/>
    </row>
    <row r="167">
      <c r="A167" s="13" t="s">
        <v>544</v>
      </c>
      <c r="B167" s="13" t="s">
        <v>545</v>
      </c>
      <c r="C167" s="14">
        <v>8.9245122895E10</v>
      </c>
      <c r="D167" s="13" t="s">
        <v>52</v>
      </c>
      <c r="E167" s="13" t="s">
        <v>546</v>
      </c>
      <c r="F167" s="13" t="s">
        <v>547</v>
      </c>
      <c r="G167" s="13" t="s">
        <v>38</v>
      </c>
      <c r="H167" s="14">
        <v>36.0</v>
      </c>
      <c r="I167" s="14">
        <f t="shared" si="5"/>
        <v>3</v>
      </c>
      <c r="J167" s="13" t="s">
        <v>39</v>
      </c>
      <c r="K167" s="13" t="s">
        <v>27</v>
      </c>
      <c r="L167" s="13" t="s">
        <v>39</v>
      </c>
      <c r="M167" s="13" t="s">
        <v>28</v>
      </c>
      <c r="N167" s="13"/>
      <c r="O167" s="13"/>
      <c r="P167" s="13" t="s">
        <v>29</v>
      </c>
      <c r="Q167" s="13" t="s">
        <v>31</v>
      </c>
      <c r="R167" s="13"/>
      <c r="S167" s="13"/>
      <c r="T167" s="24" t="s">
        <v>33</v>
      </c>
      <c r="U167" s="24" t="s">
        <v>33</v>
      </c>
    </row>
    <row r="168">
      <c r="A168" s="13" t="s">
        <v>548</v>
      </c>
      <c r="B168" s="13" t="s">
        <v>549</v>
      </c>
      <c r="C168" s="14">
        <v>8.9153899817E10</v>
      </c>
      <c r="D168" s="13" t="s">
        <v>52</v>
      </c>
      <c r="E168" s="13" t="s">
        <v>77</v>
      </c>
      <c r="F168" s="13" t="s">
        <v>77</v>
      </c>
      <c r="G168" s="13" t="s">
        <v>26</v>
      </c>
      <c r="H168" s="14">
        <v>30.0</v>
      </c>
      <c r="I168" s="14">
        <f t="shared" si="5"/>
        <v>2</v>
      </c>
      <c r="J168" s="13" t="s">
        <v>39</v>
      </c>
      <c r="K168" s="13" t="s">
        <v>48</v>
      </c>
      <c r="L168" s="13" t="s">
        <v>27</v>
      </c>
      <c r="M168" s="13" t="s">
        <v>48</v>
      </c>
      <c r="N168" s="13"/>
      <c r="O168" s="13"/>
      <c r="P168" s="24" t="s">
        <v>33</v>
      </c>
      <c r="Q168" s="24" t="s">
        <v>33</v>
      </c>
      <c r="R168" s="13" t="s">
        <v>29</v>
      </c>
      <c r="S168" s="13" t="s">
        <v>31</v>
      </c>
      <c r="T168" s="24" t="s">
        <v>33</v>
      </c>
      <c r="U168" s="24" t="s">
        <v>33</v>
      </c>
    </row>
    <row r="169">
      <c r="A169" s="13" t="s">
        <v>550</v>
      </c>
      <c r="B169" s="13" t="s">
        <v>551</v>
      </c>
      <c r="C169" s="14">
        <v>8.9237183977E10</v>
      </c>
      <c r="D169" s="13" t="s">
        <v>23</v>
      </c>
      <c r="E169" s="13" t="s">
        <v>275</v>
      </c>
      <c r="F169" s="13" t="s">
        <v>552</v>
      </c>
      <c r="G169" s="13" t="s">
        <v>26</v>
      </c>
      <c r="H169" s="14">
        <v>52.0</v>
      </c>
      <c r="I169" s="14">
        <f t="shared" si="5"/>
        <v>4</v>
      </c>
      <c r="J169" s="13" t="s">
        <v>27</v>
      </c>
      <c r="K169" s="13" t="s">
        <v>39</v>
      </c>
      <c r="L169" s="13" t="s">
        <v>27</v>
      </c>
      <c r="M169" s="13" t="s">
        <v>27</v>
      </c>
      <c r="N169" s="13" t="s">
        <v>29</v>
      </c>
      <c r="O169" s="13" t="s">
        <v>31</v>
      </c>
      <c r="P169" s="13"/>
      <c r="Q169" s="13"/>
      <c r="R169" s="13" t="s">
        <v>29</v>
      </c>
      <c r="S169" s="13" t="s">
        <v>31</v>
      </c>
      <c r="T169" s="13" t="s">
        <v>29</v>
      </c>
      <c r="U169" s="13" t="s">
        <v>31</v>
      </c>
    </row>
    <row r="170">
      <c r="A170" s="13" t="s">
        <v>553</v>
      </c>
      <c r="B170" s="20" t="s">
        <v>554</v>
      </c>
      <c r="C170" s="14">
        <v>8.9106637291E10</v>
      </c>
      <c r="D170" s="13" t="s">
        <v>52</v>
      </c>
      <c r="E170" s="13" t="s">
        <v>191</v>
      </c>
      <c r="F170" s="13" t="s">
        <v>192</v>
      </c>
      <c r="G170" s="13" t="s">
        <v>26</v>
      </c>
      <c r="H170" s="14">
        <v>28.0</v>
      </c>
      <c r="I170" s="14">
        <f t="shared" si="5"/>
        <v>3</v>
      </c>
      <c r="J170" s="13" t="s">
        <v>27</v>
      </c>
      <c r="K170" s="13" t="s">
        <v>48</v>
      </c>
      <c r="L170" s="13" t="s">
        <v>27</v>
      </c>
      <c r="M170" s="13" t="s">
        <v>27</v>
      </c>
      <c r="N170" s="13" t="s">
        <v>40</v>
      </c>
      <c r="O170" s="13" t="s">
        <v>32</v>
      </c>
      <c r="P170" s="24" t="s">
        <v>33</v>
      </c>
      <c r="Q170" s="24" t="s">
        <v>33</v>
      </c>
      <c r="R170" s="13" t="s">
        <v>29</v>
      </c>
      <c r="S170" s="13" t="s">
        <v>30</v>
      </c>
      <c r="T170" s="24" t="s">
        <v>33</v>
      </c>
      <c r="U170" s="24" t="s">
        <v>33</v>
      </c>
    </row>
    <row r="171">
      <c r="A171" s="13" t="s">
        <v>555</v>
      </c>
      <c r="B171" s="20" t="s">
        <v>556</v>
      </c>
      <c r="C171" s="14">
        <v>8.9021258174E10</v>
      </c>
      <c r="D171" s="13" t="s">
        <v>23</v>
      </c>
      <c r="E171" s="13" t="s">
        <v>557</v>
      </c>
      <c r="F171" s="13" t="s">
        <v>373</v>
      </c>
      <c r="G171" s="13" t="s">
        <v>26</v>
      </c>
      <c r="H171" s="14">
        <v>28.0</v>
      </c>
      <c r="I171" s="14">
        <f t="shared" si="5"/>
        <v>2</v>
      </c>
      <c r="J171" s="13" t="s">
        <v>27</v>
      </c>
      <c r="K171" s="13" t="s">
        <v>48</v>
      </c>
      <c r="L171" s="13" t="s">
        <v>48</v>
      </c>
      <c r="M171" s="13" t="s">
        <v>27</v>
      </c>
      <c r="N171" s="13" t="s">
        <v>40</v>
      </c>
      <c r="O171" s="13" t="s">
        <v>32</v>
      </c>
      <c r="P171" s="24" t="s">
        <v>33</v>
      </c>
      <c r="Q171" s="24" t="s">
        <v>33</v>
      </c>
      <c r="R171" s="24" t="s">
        <v>33</v>
      </c>
      <c r="S171" s="24" t="s">
        <v>33</v>
      </c>
      <c r="T171" s="13" t="s">
        <v>29</v>
      </c>
      <c r="U171" s="13" t="s">
        <v>31</v>
      </c>
    </row>
    <row r="172">
      <c r="A172" s="13" t="s">
        <v>558</v>
      </c>
      <c r="B172" s="13" t="s">
        <v>559</v>
      </c>
      <c r="C172" s="14">
        <v>8.9204644775E10</v>
      </c>
      <c r="D172" s="13" t="s">
        <v>23</v>
      </c>
      <c r="E172" s="13" t="s">
        <v>120</v>
      </c>
      <c r="F172" s="13" t="s">
        <v>117</v>
      </c>
      <c r="G172" s="13" t="s">
        <v>26</v>
      </c>
      <c r="H172" s="14">
        <v>39.0</v>
      </c>
      <c r="I172" s="14">
        <f t="shared" si="5"/>
        <v>3</v>
      </c>
      <c r="J172" s="13" t="s">
        <v>39</v>
      </c>
      <c r="K172" s="13" t="s">
        <v>27</v>
      </c>
      <c r="L172" s="13" t="s">
        <v>39</v>
      </c>
      <c r="M172" s="13" t="s">
        <v>48</v>
      </c>
      <c r="N172" s="13"/>
      <c r="O172" s="13"/>
      <c r="P172" s="13" t="s">
        <v>40</v>
      </c>
      <c r="Q172" s="13" t="s">
        <v>32</v>
      </c>
      <c r="R172" s="13"/>
      <c r="S172" s="13"/>
      <c r="T172" s="13"/>
      <c r="U172" s="13"/>
    </row>
    <row r="173">
      <c r="A173" s="13" t="s">
        <v>560</v>
      </c>
      <c r="B173" s="20" t="s">
        <v>561</v>
      </c>
      <c r="C173" s="14">
        <v>8.9148921589E10</v>
      </c>
      <c r="D173" s="13" t="s">
        <v>23</v>
      </c>
      <c r="E173" s="13" t="s">
        <v>562</v>
      </c>
      <c r="F173" s="13" t="s">
        <v>563</v>
      </c>
      <c r="G173" s="13" t="s">
        <v>38</v>
      </c>
      <c r="H173" s="14">
        <v>32.0</v>
      </c>
      <c r="I173" s="14">
        <f t="shared" si="5"/>
        <v>3</v>
      </c>
      <c r="J173" s="13" t="s">
        <v>39</v>
      </c>
      <c r="K173" s="13" t="s">
        <v>28</v>
      </c>
      <c r="L173" s="13" t="s">
        <v>27</v>
      </c>
      <c r="M173" s="13" t="s">
        <v>27</v>
      </c>
      <c r="N173" s="13"/>
      <c r="O173" s="13"/>
      <c r="P173" s="24" t="s">
        <v>33</v>
      </c>
      <c r="Q173" s="24" t="s">
        <v>33</v>
      </c>
      <c r="R173" s="13" t="s">
        <v>40</v>
      </c>
      <c r="S173" s="13" t="s">
        <v>32</v>
      </c>
      <c r="T173" s="13" t="s">
        <v>40</v>
      </c>
      <c r="U173" s="13" t="s">
        <v>32</v>
      </c>
    </row>
    <row r="174">
      <c r="A174" s="13" t="s">
        <v>564</v>
      </c>
      <c r="B174" s="13" t="s">
        <v>565</v>
      </c>
      <c r="C174" s="14">
        <v>8.9616215222E10</v>
      </c>
      <c r="D174" s="13" t="s">
        <v>23</v>
      </c>
      <c r="E174" s="13" t="s">
        <v>230</v>
      </c>
      <c r="F174" s="13" t="s">
        <v>566</v>
      </c>
      <c r="G174" s="13" t="s">
        <v>38</v>
      </c>
      <c r="H174" s="14">
        <v>37.0</v>
      </c>
      <c r="I174" s="14">
        <f t="shared" si="5"/>
        <v>3</v>
      </c>
      <c r="J174" s="13" t="s">
        <v>27</v>
      </c>
      <c r="K174" s="13" t="s">
        <v>27</v>
      </c>
      <c r="L174" s="13" t="s">
        <v>28</v>
      </c>
      <c r="M174" s="13" t="s">
        <v>27</v>
      </c>
      <c r="N174" s="13" t="s">
        <v>29</v>
      </c>
      <c r="O174" s="13" t="s">
        <v>31</v>
      </c>
      <c r="P174" s="13" t="s">
        <v>40</v>
      </c>
      <c r="Q174" s="13" t="s">
        <v>32</v>
      </c>
      <c r="R174" s="24" t="s">
        <v>33</v>
      </c>
      <c r="S174" s="24" t="s">
        <v>33</v>
      </c>
      <c r="T174" s="13" t="s">
        <v>40</v>
      </c>
      <c r="U174" s="13" t="s">
        <v>32</v>
      </c>
    </row>
    <row r="175">
      <c r="A175" s="13" t="s">
        <v>567</v>
      </c>
      <c r="B175" s="13" t="s">
        <v>568</v>
      </c>
      <c r="C175" s="14">
        <v>8.9067439189E10</v>
      </c>
      <c r="D175" s="13" t="s">
        <v>23</v>
      </c>
      <c r="E175" s="13" t="s">
        <v>77</v>
      </c>
      <c r="F175" s="13" t="s">
        <v>77</v>
      </c>
      <c r="G175" s="13" t="s">
        <v>26</v>
      </c>
      <c r="H175" s="14">
        <v>36.0</v>
      </c>
      <c r="I175" s="14">
        <f t="shared" si="5"/>
        <v>4</v>
      </c>
      <c r="J175" s="13" t="s">
        <v>39</v>
      </c>
      <c r="K175" s="13" t="s">
        <v>27</v>
      </c>
      <c r="L175" s="13" t="s">
        <v>39</v>
      </c>
      <c r="M175" s="13" t="s">
        <v>27</v>
      </c>
      <c r="N175" s="24" t="s">
        <v>33</v>
      </c>
      <c r="O175" s="24" t="s">
        <v>33</v>
      </c>
      <c r="P175" s="13" t="s">
        <v>40</v>
      </c>
      <c r="Q175" s="13" t="s">
        <v>32</v>
      </c>
      <c r="R175" s="13"/>
      <c r="S175" s="13"/>
      <c r="T175" s="13" t="s">
        <v>40</v>
      </c>
      <c r="U175" s="13" t="s">
        <v>32</v>
      </c>
    </row>
    <row r="176">
      <c r="A176" s="13" t="s">
        <v>569</v>
      </c>
      <c r="B176" s="13" t="s">
        <v>570</v>
      </c>
      <c r="C176" s="14">
        <v>8.9194938539E10</v>
      </c>
      <c r="D176" s="13" t="s">
        <v>23</v>
      </c>
      <c r="E176" s="13" t="s">
        <v>497</v>
      </c>
      <c r="F176" s="13" t="s">
        <v>336</v>
      </c>
      <c r="G176" s="13" t="s">
        <v>26</v>
      </c>
      <c r="H176" s="14">
        <v>40.0</v>
      </c>
      <c r="I176" s="14">
        <f t="shared" si="5"/>
        <v>2</v>
      </c>
      <c r="J176" s="13" t="s">
        <v>27</v>
      </c>
      <c r="K176" s="13" t="s">
        <v>28</v>
      </c>
      <c r="L176" s="13" t="s">
        <v>39</v>
      </c>
      <c r="M176" s="13" t="s">
        <v>28</v>
      </c>
      <c r="N176" s="13" t="s">
        <v>29</v>
      </c>
      <c r="O176" s="13" t="s">
        <v>30</v>
      </c>
      <c r="P176" s="24" t="s">
        <v>33</v>
      </c>
      <c r="Q176" s="24" t="s">
        <v>33</v>
      </c>
      <c r="R176" s="13"/>
      <c r="S176" s="13"/>
      <c r="T176" s="24" t="s">
        <v>33</v>
      </c>
      <c r="U176" s="24" t="s">
        <v>33</v>
      </c>
    </row>
    <row r="177">
      <c r="A177" s="13" t="s">
        <v>571</v>
      </c>
      <c r="B177" s="13" t="s">
        <v>572</v>
      </c>
      <c r="C177" s="14">
        <v>8.9202178168E10</v>
      </c>
      <c r="D177" s="13" t="s">
        <v>23</v>
      </c>
      <c r="E177" s="13" t="s">
        <v>120</v>
      </c>
      <c r="F177" s="13" t="s">
        <v>121</v>
      </c>
      <c r="G177" s="13" t="s">
        <v>26</v>
      </c>
      <c r="H177" s="14">
        <v>29.0</v>
      </c>
      <c r="I177" s="14">
        <f t="shared" si="5"/>
        <v>4</v>
      </c>
      <c r="J177" s="13" t="s">
        <v>27</v>
      </c>
      <c r="K177" s="13" t="s">
        <v>27</v>
      </c>
      <c r="L177" s="13" t="s">
        <v>39</v>
      </c>
      <c r="M177" s="13" t="s">
        <v>27</v>
      </c>
      <c r="N177" s="13" t="s">
        <v>40</v>
      </c>
      <c r="O177" s="13" t="s">
        <v>32</v>
      </c>
      <c r="P177" s="13" t="s">
        <v>31</v>
      </c>
      <c r="Q177" s="13" t="s">
        <v>32</v>
      </c>
      <c r="R177" s="13"/>
      <c r="S177" s="13"/>
      <c r="T177" s="13" t="s">
        <v>29</v>
      </c>
      <c r="U177" s="13" t="s">
        <v>30</v>
      </c>
    </row>
    <row r="178">
      <c r="A178" s="13" t="s">
        <v>573</v>
      </c>
      <c r="B178" s="13" t="s">
        <v>574</v>
      </c>
      <c r="C178" s="14">
        <v>8.9204263795E10</v>
      </c>
      <c r="D178" s="13" t="s">
        <v>23</v>
      </c>
      <c r="E178" s="13" t="s">
        <v>116</v>
      </c>
      <c r="F178" s="13" t="s">
        <v>117</v>
      </c>
      <c r="G178" s="13" t="s">
        <v>26</v>
      </c>
      <c r="H178" s="14">
        <v>46.0</v>
      </c>
      <c r="I178" s="14">
        <f t="shared" si="5"/>
        <v>4</v>
      </c>
      <c r="J178" s="13" t="s">
        <v>39</v>
      </c>
      <c r="K178" s="13" t="s">
        <v>27</v>
      </c>
      <c r="L178" s="13" t="s">
        <v>27</v>
      </c>
      <c r="M178" s="13" t="s">
        <v>27</v>
      </c>
      <c r="N178" s="13"/>
      <c r="O178" s="13"/>
      <c r="P178" s="13" t="s">
        <v>40</v>
      </c>
      <c r="Q178" s="13" t="s">
        <v>32</v>
      </c>
      <c r="R178" s="13" t="s">
        <v>40</v>
      </c>
      <c r="S178" s="13" t="s">
        <v>32</v>
      </c>
      <c r="T178" s="13" t="s">
        <v>40</v>
      </c>
      <c r="U178" s="13" t="s">
        <v>32</v>
      </c>
    </row>
    <row r="179">
      <c r="A179" s="13" t="s">
        <v>575</v>
      </c>
      <c r="B179" s="13" t="s">
        <v>576</v>
      </c>
      <c r="C179" s="14">
        <v>8.9225729642E10</v>
      </c>
      <c r="D179" s="13" t="s">
        <v>23</v>
      </c>
      <c r="E179" s="13" t="s">
        <v>24</v>
      </c>
      <c r="F179" s="13" t="s">
        <v>25</v>
      </c>
      <c r="G179" s="13" t="s">
        <v>38</v>
      </c>
      <c r="H179" s="14">
        <v>29.0</v>
      </c>
      <c r="I179" s="14">
        <f t="shared" si="5"/>
        <v>2</v>
      </c>
      <c r="J179" s="13" t="s">
        <v>27</v>
      </c>
      <c r="K179" s="13" t="s">
        <v>48</v>
      </c>
      <c r="L179" s="13" t="s">
        <v>27</v>
      </c>
      <c r="M179" s="13" t="s">
        <v>48</v>
      </c>
      <c r="N179" s="13" t="s">
        <v>40</v>
      </c>
      <c r="O179" s="13" t="s">
        <v>32</v>
      </c>
      <c r="P179" s="24" t="s">
        <v>33</v>
      </c>
      <c r="Q179" s="24" t="s">
        <v>33</v>
      </c>
      <c r="R179" s="13" t="s">
        <v>29</v>
      </c>
      <c r="S179" s="13" t="s">
        <v>30</v>
      </c>
      <c r="T179" s="24" t="s">
        <v>33</v>
      </c>
      <c r="U179" s="24" t="s">
        <v>33</v>
      </c>
    </row>
    <row r="180">
      <c r="A180" s="13" t="s">
        <v>577</v>
      </c>
      <c r="B180" s="13" t="s">
        <v>578</v>
      </c>
      <c r="C180" s="14">
        <v>8.9170154915E10</v>
      </c>
      <c r="D180" s="13" t="s">
        <v>23</v>
      </c>
      <c r="E180" s="13" t="s">
        <v>138</v>
      </c>
      <c r="F180" s="13" t="s">
        <v>139</v>
      </c>
      <c r="G180" s="13" t="s">
        <v>38</v>
      </c>
      <c r="H180" s="14">
        <v>31.0</v>
      </c>
      <c r="I180" s="14">
        <f t="shared" si="5"/>
        <v>3</v>
      </c>
      <c r="J180" s="13" t="s">
        <v>27</v>
      </c>
      <c r="K180" s="13" t="s">
        <v>28</v>
      </c>
      <c r="L180" s="13" t="s">
        <v>39</v>
      </c>
      <c r="M180" s="13" t="s">
        <v>39</v>
      </c>
      <c r="N180" s="13" t="s">
        <v>40</v>
      </c>
      <c r="O180" s="13" t="s">
        <v>32</v>
      </c>
      <c r="P180" s="24" t="s">
        <v>33</v>
      </c>
      <c r="Q180" s="24" t="s">
        <v>33</v>
      </c>
      <c r="R180" s="13"/>
      <c r="S180" s="13"/>
      <c r="T180" s="13"/>
      <c r="U180" s="13"/>
    </row>
    <row r="181">
      <c r="A181" s="13" t="s">
        <v>579</v>
      </c>
      <c r="B181" s="13" t="s">
        <v>580</v>
      </c>
      <c r="C181" s="14">
        <v>8.964892566E10</v>
      </c>
      <c r="D181" s="13" t="s">
        <v>23</v>
      </c>
      <c r="E181" s="13" t="s">
        <v>523</v>
      </c>
      <c r="F181" s="13" t="s">
        <v>581</v>
      </c>
      <c r="G181" s="13" t="s">
        <v>38</v>
      </c>
      <c r="H181" s="14">
        <v>37.0</v>
      </c>
      <c r="I181" s="14">
        <f t="shared" si="5"/>
        <v>4</v>
      </c>
      <c r="J181" s="13" t="s">
        <v>39</v>
      </c>
      <c r="K181" s="13" t="s">
        <v>27</v>
      </c>
      <c r="L181" s="13" t="s">
        <v>39</v>
      </c>
      <c r="M181" s="13" t="s">
        <v>27</v>
      </c>
      <c r="N181" s="13"/>
      <c r="O181" s="13"/>
      <c r="P181" s="13" t="s">
        <v>29</v>
      </c>
      <c r="Q181" s="13" t="s">
        <v>30</v>
      </c>
      <c r="R181" s="13"/>
      <c r="S181" s="13"/>
      <c r="T181" s="13" t="s">
        <v>29</v>
      </c>
      <c r="U181" s="13" t="s">
        <v>30</v>
      </c>
    </row>
    <row r="182">
      <c r="A182" s="13" t="s">
        <v>582</v>
      </c>
      <c r="B182" s="13" t="s">
        <v>583</v>
      </c>
      <c r="C182" s="14">
        <v>8.9780181832E10</v>
      </c>
      <c r="D182" s="13" t="s">
        <v>23</v>
      </c>
      <c r="E182" s="13" t="s">
        <v>295</v>
      </c>
      <c r="F182" s="13" t="s">
        <v>584</v>
      </c>
      <c r="G182" s="13" t="s">
        <v>26</v>
      </c>
      <c r="H182" s="14">
        <v>35.0</v>
      </c>
      <c r="I182" s="14">
        <f t="shared" si="5"/>
        <v>2</v>
      </c>
      <c r="J182" s="13" t="s">
        <v>48</v>
      </c>
      <c r="K182" s="13" t="s">
        <v>27</v>
      </c>
      <c r="L182" s="13" t="s">
        <v>27</v>
      </c>
      <c r="M182" s="13" t="s">
        <v>48</v>
      </c>
      <c r="N182" s="24" t="s">
        <v>33</v>
      </c>
      <c r="O182" s="24" t="s">
        <v>33</v>
      </c>
      <c r="P182" s="13" t="s">
        <v>40</v>
      </c>
      <c r="Q182" s="13" t="s">
        <v>32</v>
      </c>
      <c r="R182" s="13" t="s">
        <v>29</v>
      </c>
      <c r="S182" s="13" t="s">
        <v>31</v>
      </c>
      <c r="T182" s="24" t="s">
        <v>33</v>
      </c>
      <c r="U182" s="24" t="s">
        <v>33</v>
      </c>
    </row>
    <row r="183">
      <c r="A183" s="13" t="s">
        <v>585</v>
      </c>
      <c r="B183" s="13" t="s">
        <v>586</v>
      </c>
      <c r="C183" s="14">
        <v>8.9376015841E10</v>
      </c>
      <c r="D183" s="13" t="s">
        <v>23</v>
      </c>
      <c r="E183" s="13" t="s">
        <v>72</v>
      </c>
      <c r="F183" s="13" t="s">
        <v>73</v>
      </c>
      <c r="G183" s="13" t="s">
        <v>38</v>
      </c>
      <c r="H183" s="14">
        <v>24.0</v>
      </c>
      <c r="I183" s="14">
        <f t="shared" si="5"/>
        <v>4</v>
      </c>
      <c r="J183" s="13" t="s">
        <v>27</v>
      </c>
      <c r="K183" s="13" t="s">
        <v>27</v>
      </c>
      <c r="L183" s="13" t="s">
        <v>27</v>
      </c>
      <c r="M183" s="13" t="s">
        <v>27</v>
      </c>
      <c r="N183" s="13" t="s">
        <v>29</v>
      </c>
      <c r="O183" s="13" t="s">
        <v>31</v>
      </c>
      <c r="P183" s="13" t="s">
        <v>40</v>
      </c>
      <c r="Q183" s="13" t="s">
        <v>32</v>
      </c>
      <c r="R183" s="13" t="s">
        <v>29</v>
      </c>
      <c r="S183" s="13" t="s">
        <v>31</v>
      </c>
      <c r="T183" s="13" t="s">
        <v>29</v>
      </c>
      <c r="U183" s="13" t="s">
        <v>31</v>
      </c>
    </row>
    <row r="184">
      <c r="A184" s="13" t="s">
        <v>587</v>
      </c>
      <c r="B184" s="20" t="s">
        <v>588</v>
      </c>
      <c r="C184" s="14">
        <v>8.9213016909E10</v>
      </c>
      <c r="D184" s="13" t="s">
        <v>23</v>
      </c>
      <c r="E184" s="13" t="s">
        <v>147</v>
      </c>
      <c r="F184" s="13" t="s">
        <v>147</v>
      </c>
      <c r="G184" s="13" t="s">
        <v>26</v>
      </c>
      <c r="H184" s="14">
        <v>47.0</v>
      </c>
      <c r="I184" s="14">
        <f t="shared" si="5"/>
        <v>4</v>
      </c>
      <c r="J184" s="13" t="s">
        <v>39</v>
      </c>
      <c r="K184" s="13" t="s">
        <v>27</v>
      </c>
      <c r="L184" s="13" t="s">
        <v>39</v>
      </c>
      <c r="M184" s="13" t="s">
        <v>39</v>
      </c>
      <c r="N184" s="13"/>
      <c r="O184" s="13"/>
      <c r="P184" s="13" t="s">
        <v>40</v>
      </c>
      <c r="Q184" s="13" t="s">
        <v>32</v>
      </c>
      <c r="R184" s="13"/>
      <c r="S184" s="13"/>
      <c r="T184" s="13"/>
      <c r="U184" s="13"/>
    </row>
    <row r="185">
      <c r="A185" s="13" t="s">
        <v>589</v>
      </c>
      <c r="B185" s="20" t="s">
        <v>590</v>
      </c>
      <c r="C185" s="14">
        <v>8.9052475558E10</v>
      </c>
      <c r="D185" s="13" t="s">
        <v>23</v>
      </c>
      <c r="E185" s="13" t="s">
        <v>174</v>
      </c>
      <c r="F185" s="13" t="s">
        <v>175</v>
      </c>
      <c r="G185" s="13" t="s">
        <v>38</v>
      </c>
      <c r="H185" s="14">
        <v>33.0</v>
      </c>
      <c r="I185" s="14">
        <f t="shared" si="5"/>
        <v>3</v>
      </c>
      <c r="J185" s="13" t="s">
        <v>27</v>
      </c>
      <c r="K185" s="13" t="s">
        <v>28</v>
      </c>
      <c r="L185" s="13" t="s">
        <v>27</v>
      </c>
      <c r="M185" s="13" t="s">
        <v>27</v>
      </c>
      <c r="N185" s="13" t="s">
        <v>29</v>
      </c>
      <c r="O185" s="13" t="s">
        <v>30</v>
      </c>
      <c r="P185" s="24" t="s">
        <v>33</v>
      </c>
      <c r="Q185" s="24" t="s">
        <v>33</v>
      </c>
      <c r="R185" s="13" t="s">
        <v>29</v>
      </c>
      <c r="S185" s="13" t="s">
        <v>30</v>
      </c>
      <c r="T185" s="13" t="s">
        <v>29</v>
      </c>
      <c r="U185" s="13" t="s">
        <v>30</v>
      </c>
    </row>
    <row r="186">
      <c r="A186" s="13" t="s">
        <v>591</v>
      </c>
      <c r="B186" s="13" t="s">
        <v>592</v>
      </c>
      <c r="C186" s="14">
        <v>8.9375276504E10</v>
      </c>
      <c r="D186" s="13" t="s">
        <v>52</v>
      </c>
      <c r="E186" s="13" t="s">
        <v>84</v>
      </c>
      <c r="F186" s="13" t="s">
        <v>180</v>
      </c>
      <c r="G186" s="13" t="s">
        <v>38</v>
      </c>
      <c r="H186" s="14">
        <v>28.0</v>
      </c>
      <c r="I186" s="14">
        <f t="shared" si="5"/>
        <v>2</v>
      </c>
      <c r="J186" s="27" t="s">
        <v>593</v>
      </c>
      <c r="K186" s="13" t="s">
        <v>27</v>
      </c>
      <c r="L186" s="13" t="s">
        <v>27</v>
      </c>
      <c r="M186" s="13" t="s">
        <v>48</v>
      </c>
      <c r="N186" s="13"/>
      <c r="O186" s="13"/>
      <c r="P186" s="13" t="s">
        <v>40</v>
      </c>
      <c r="Q186" s="27" t="s">
        <v>31</v>
      </c>
      <c r="R186" s="13" t="s">
        <v>31</v>
      </c>
      <c r="S186" s="13" t="s">
        <v>32</v>
      </c>
      <c r="T186" s="24" t="s">
        <v>33</v>
      </c>
      <c r="U186" s="24" t="s">
        <v>33</v>
      </c>
    </row>
    <row r="187">
      <c r="A187" s="13" t="s">
        <v>594</v>
      </c>
      <c r="B187" s="13" t="s">
        <v>595</v>
      </c>
      <c r="C187" s="14">
        <v>8.9374814898E10</v>
      </c>
      <c r="D187" s="13" t="s">
        <v>23</v>
      </c>
      <c r="E187" s="13" t="s">
        <v>109</v>
      </c>
      <c r="F187" s="13" t="s">
        <v>54</v>
      </c>
      <c r="G187" s="13" t="s">
        <v>26</v>
      </c>
      <c r="H187" s="14">
        <v>25.0</v>
      </c>
      <c r="I187" s="14">
        <f t="shared" si="5"/>
        <v>3</v>
      </c>
      <c r="J187" s="13" t="s">
        <v>39</v>
      </c>
      <c r="K187" s="13" t="s">
        <v>27</v>
      </c>
      <c r="L187" s="13" t="s">
        <v>39</v>
      </c>
      <c r="M187" s="13" t="s">
        <v>48</v>
      </c>
      <c r="N187" s="13"/>
      <c r="O187" s="13"/>
      <c r="P187" s="13" t="s">
        <v>40</v>
      </c>
      <c r="Q187" s="13" t="s">
        <v>32</v>
      </c>
      <c r="R187" s="13"/>
      <c r="S187" s="13"/>
      <c r="T187" s="13"/>
      <c r="U187" s="13"/>
    </row>
    <row r="188">
      <c r="A188" s="13" t="s">
        <v>596</v>
      </c>
      <c r="B188" s="20" t="s">
        <v>597</v>
      </c>
      <c r="C188" s="14">
        <v>8.9373035646E10</v>
      </c>
      <c r="D188" s="13" t="s">
        <v>23</v>
      </c>
      <c r="E188" s="13" t="s">
        <v>54</v>
      </c>
      <c r="F188" s="13" t="s">
        <v>598</v>
      </c>
      <c r="G188" s="13" t="s">
        <v>38</v>
      </c>
      <c r="H188" s="14">
        <v>37.0</v>
      </c>
      <c r="I188" s="14">
        <f t="shared" si="5"/>
        <v>2</v>
      </c>
      <c r="J188" s="13" t="s">
        <v>39</v>
      </c>
      <c r="K188" s="13" t="s">
        <v>27</v>
      </c>
      <c r="L188" s="13" t="s">
        <v>48</v>
      </c>
      <c r="M188" s="13" t="s">
        <v>48</v>
      </c>
      <c r="N188" s="13"/>
      <c r="O188" s="13"/>
      <c r="P188" s="13" t="s">
        <v>40</v>
      </c>
      <c r="Q188" s="13" t="s">
        <v>32</v>
      </c>
      <c r="R188" s="24" t="s">
        <v>33</v>
      </c>
      <c r="S188" s="24" t="s">
        <v>33</v>
      </c>
      <c r="T188" s="24" t="s">
        <v>33</v>
      </c>
      <c r="U188" s="24" t="s">
        <v>33</v>
      </c>
    </row>
    <row r="189">
      <c r="A189" s="13" t="s">
        <v>599</v>
      </c>
      <c r="B189" s="13" t="s">
        <v>600</v>
      </c>
      <c r="C189" s="14">
        <v>8.9588214329E10</v>
      </c>
      <c r="D189" s="13" t="s">
        <v>23</v>
      </c>
      <c r="E189" s="13" t="s">
        <v>77</v>
      </c>
      <c r="F189" s="13" t="s">
        <v>77</v>
      </c>
      <c r="G189" s="13" t="s">
        <v>26</v>
      </c>
      <c r="H189" s="14">
        <v>45.0</v>
      </c>
      <c r="I189" s="14">
        <f t="shared" si="5"/>
        <v>3</v>
      </c>
      <c r="J189" s="13" t="s">
        <v>39</v>
      </c>
      <c r="K189" s="13" t="s">
        <v>27</v>
      </c>
      <c r="L189" s="13" t="s">
        <v>28</v>
      </c>
      <c r="M189" s="13" t="s">
        <v>39</v>
      </c>
      <c r="N189" s="13"/>
      <c r="O189" s="13"/>
      <c r="P189" s="13" t="s">
        <v>29</v>
      </c>
      <c r="Q189" s="13" t="s">
        <v>31</v>
      </c>
      <c r="R189" s="24" t="s">
        <v>33</v>
      </c>
      <c r="S189" s="24" t="s">
        <v>33</v>
      </c>
      <c r="T189" s="13"/>
      <c r="U189" s="13"/>
    </row>
    <row r="190">
      <c r="A190" s="13" t="s">
        <v>601</v>
      </c>
      <c r="B190" s="13" t="s">
        <v>602</v>
      </c>
      <c r="C190" s="14">
        <v>8.9177600606E10</v>
      </c>
      <c r="D190" s="13" t="s">
        <v>52</v>
      </c>
      <c r="E190" s="13" t="s">
        <v>109</v>
      </c>
      <c r="F190" s="13" t="s">
        <v>54</v>
      </c>
      <c r="G190" s="13" t="s">
        <v>38</v>
      </c>
      <c r="H190" s="14">
        <v>34.0</v>
      </c>
      <c r="I190" s="14">
        <f t="shared" si="5"/>
        <v>4</v>
      </c>
      <c r="J190" s="13" t="s">
        <v>27</v>
      </c>
      <c r="K190" s="13" t="s">
        <v>27</v>
      </c>
      <c r="L190" s="13" t="s">
        <v>27</v>
      </c>
      <c r="M190" s="13" t="s">
        <v>27</v>
      </c>
      <c r="N190" s="13" t="s">
        <v>40</v>
      </c>
      <c r="O190" s="13" t="s">
        <v>32</v>
      </c>
      <c r="P190" s="13" t="s">
        <v>31</v>
      </c>
      <c r="Q190" s="13" t="s">
        <v>32</v>
      </c>
      <c r="R190" s="13" t="s">
        <v>29</v>
      </c>
      <c r="S190" s="13" t="s">
        <v>31</v>
      </c>
      <c r="T190" s="13" t="s">
        <v>40</v>
      </c>
      <c r="U190" s="13" t="s">
        <v>32</v>
      </c>
    </row>
    <row r="191">
      <c r="A191" s="13" t="s">
        <v>603</v>
      </c>
      <c r="B191" s="13" t="s">
        <v>604</v>
      </c>
      <c r="C191" s="14">
        <v>8.9173562459E10</v>
      </c>
      <c r="D191" s="13" t="s">
        <v>52</v>
      </c>
      <c r="E191" s="13" t="s">
        <v>131</v>
      </c>
      <c r="F191" s="13" t="s">
        <v>54</v>
      </c>
      <c r="G191" s="13" t="s">
        <v>26</v>
      </c>
      <c r="H191" s="14">
        <v>34.0</v>
      </c>
      <c r="I191" s="14">
        <f t="shared" si="5"/>
        <v>4</v>
      </c>
      <c r="J191" s="13" t="s">
        <v>27</v>
      </c>
      <c r="K191" s="13" t="s">
        <v>27</v>
      </c>
      <c r="L191" s="13" t="s">
        <v>27</v>
      </c>
      <c r="M191" s="13" t="s">
        <v>27</v>
      </c>
      <c r="N191" s="13" t="s">
        <v>40</v>
      </c>
      <c r="O191" s="13" t="s">
        <v>32</v>
      </c>
      <c r="P191" s="13" t="s">
        <v>31</v>
      </c>
      <c r="Q191" s="13" t="s">
        <v>32</v>
      </c>
      <c r="R191" s="13" t="s">
        <v>40</v>
      </c>
      <c r="S191" s="13" t="s">
        <v>32</v>
      </c>
      <c r="T191" s="13" t="s">
        <v>29</v>
      </c>
      <c r="U191" s="13" t="s">
        <v>30</v>
      </c>
    </row>
    <row r="192">
      <c r="A192" s="13" t="s">
        <v>605</v>
      </c>
      <c r="B192" s="18" t="s">
        <v>606</v>
      </c>
      <c r="C192" s="14">
        <v>8.9160050216E10</v>
      </c>
      <c r="D192" s="13" t="s">
        <v>23</v>
      </c>
      <c r="E192" s="13" t="s">
        <v>36</v>
      </c>
      <c r="F192" s="13" t="s">
        <v>607</v>
      </c>
      <c r="G192" s="13" t="s">
        <v>38</v>
      </c>
      <c r="H192" s="14">
        <v>37.0</v>
      </c>
      <c r="I192" s="14">
        <f t="shared" si="5"/>
        <v>4</v>
      </c>
      <c r="J192" s="13" t="s">
        <v>27</v>
      </c>
      <c r="K192" s="13" t="s">
        <v>39</v>
      </c>
      <c r="L192" s="13" t="s">
        <v>27</v>
      </c>
      <c r="M192" s="13" t="s">
        <v>39</v>
      </c>
      <c r="N192" s="13" t="s">
        <v>31</v>
      </c>
      <c r="O192" s="13" t="s">
        <v>32</v>
      </c>
      <c r="P192" s="13"/>
      <c r="Q192" s="13"/>
      <c r="R192" s="13" t="s">
        <v>31</v>
      </c>
      <c r="S192" s="13" t="s">
        <v>32</v>
      </c>
      <c r="T192" s="13"/>
      <c r="U192" s="13"/>
    </row>
    <row r="193">
      <c r="A193" s="13" t="s">
        <v>608</v>
      </c>
      <c r="B193" s="20" t="s">
        <v>609</v>
      </c>
      <c r="C193" s="14">
        <v>8.9537668955E10</v>
      </c>
      <c r="D193" s="13" t="s">
        <v>23</v>
      </c>
      <c r="E193" s="13" t="s">
        <v>610</v>
      </c>
      <c r="F193" s="13" t="s">
        <v>208</v>
      </c>
      <c r="G193" s="13" t="s">
        <v>38</v>
      </c>
      <c r="H193" s="14">
        <v>41.0</v>
      </c>
      <c r="I193" s="14">
        <f t="shared" si="5"/>
        <v>3</v>
      </c>
      <c r="J193" s="13" t="s">
        <v>39</v>
      </c>
      <c r="K193" s="13" t="s">
        <v>28</v>
      </c>
      <c r="L193" s="13" t="s">
        <v>27</v>
      </c>
      <c r="M193" s="13" t="s">
        <v>27</v>
      </c>
      <c r="N193" s="24" t="s">
        <v>33</v>
      </c>
      <c r="O193" s="24" t="s">
        <v>33</v>
      </c>
      <c r="P193" s="24" t="s">
        <v>33</v>
      </c>
      <c r="Q193" s="24" t="s">
        <v>33</v>
      </c>
      <c r="R193" s="13" t="s">
        <v>40</v>
      </c>
      <c r="S193" s="13" t="s">
        <v>32</v>
      </c>
      <c r="T193" s="13" t="s">
        <v>40</v>
      </c>
      <c r="U193" s="13" t="s">
        <v>32</v>
      </c>
    </row>
    <row r="194">
      <c r="A194" s="13" t="s">
        <v>611</v>
      </c>
      <c r="B194" s="13" t="s">
        <v>612</v>
      </c>
      <c r="C194" s="14">
        <v>8.9163947948E10</v>
      </c>
      <c r="D194" s="13" t="s">
        <v>23</v>
      </c>
      <c r="E194" s="13" t="s">
        <v>76</v>
      </c>
      <c r="F194" s="13" t="s">
        <v>76</v>
      </c>
      <c r="G194" s="13" t="s">
        <v>38</v>
      </c>
      <c r="H194" s="14">
        <v>42.0</v>
      </c>
      <c r="I194" s="14">
        <f t="shared" si="5"/>
        <v>4</v>
      </c>
      <c r="J194" s="13" t="s">
        <v>27</v>
      </c>
      <c r="K194" s="13" t="s">
        <v>27</v>
      </c>
      <c r="L194" s="13" t="s">
        <v>39</v>
      </c>
      <c r="M194" s="13" t="s">
        <v>39</v>
      </c>
      <c r="N194" s="13" t="s">
        <v>29</v>
      </c>
      <c r="O194" s="13" t="s">
        <v>30</v>
      </c>
      <c r="P194" s="13"/>
      <c r="Q194" s="13"/>
      <c r="R194" s="13"/>
      <c r="S194" s="13"/>
      <c r="T194" s="13"/>
      <c r="U194" s="13"/>
    </row>
    <row r="195">
      <c r="A195" s="13" t="s">
        <v>613</v>
      </c>
      <c r="B195" s="13" t="s">
        <v>614</v>
      </c>
      <c r="C195" s="14">
        <v>8.9835221226E10</v>
      </c>
      <c r="D195" s="13" t="s">
        <v>23</v>
      </c>
      <c r="E195" s="13" t="s">
        <v>615</v>
      </c>
      <c r="F195" s="13" t="s">
        <v>616</v>
      </c>
      <c r="G195" s="13" t="s">
        <v>38</v>
      </c>
      <c r="H195" s="14">
        <v>22.0</v>
      </c>
      <c r="I195" s="14">
        <f t="shared" si="5"/>
        <v>4</v>
      </c>
      <c r="J195" s="13" t="s">
        <v>39</v>
      </c>
      <c r="K195" s="13" t="s">
        <v>27</v>
      </c>
      <c r="L195" s="13" t="s">
        <v>39</v>
      </c>
      <c r="M195" s="13" t="s">
        <v>27</v>
      </c>
      <c r="N195" s="13"/>
      <c r="O195" s="13"/>
      <c r="P195" s="13" t="s">
        <v>29</v>
      </c>
      <c r="Q195" s="13" t="s">
        <v>30</v>
      </c>
      <c r="R195" s="13"/>
      <c r="S195" s="13"/>
      <c r="T195" s="13" t="s">
        <v>31</v>
      </c>
      <c r="U195" s="13" t="s">
        <v>32</v>
      </c>
    </row>
    <row r="196">
      <c r="A196" s="13" t="s">
        <v>617</v>
      </c>
      <c r="B196" s="20" t="s">
        <v>618</v>
      </c>
      <c r="C196" s="14">
        <v>8.9913273527E10</v>
      </c>
      <c r="D196" s="13" t="s">
        <v>23</v>
      </c>
      <c r="E196" s="13" t="s">
        <v>120</v>
      </c>
      <c r="F196" s="13" t="s">
        <v>121</v>
      </c>
      <c r="G196" s="13" t="s">
        <v>26</v>
      </c>
      <c r="H196" s="14">
        <v>32.0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40</v>
      </c>
      <c r="O196" s="13" t="s">
        <v>32</v>
      </c>
      <c r="P196" s="13"/>
      <c r="Q196" s="13"/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619</v>
      </c>
      <c r="B197" s="13" t="s">
        <v>620</v>
      </c>
      <c r="C197" s="14">
        <v>8.9022772153E10</v>
      </c>
      <c r="D197" s="13" t="s">
        <v>23</v>
      </c>
      <c r="E197" s="13" t="s">
        <v>127</v>
      </c>
      <c r="F197" s="13" t="s">
        <v>128</v>
      </c>
      <c r="G197" s="13" t="s">
        <v>26</v>
      </c>
      <c r="H197" s="14">
        <v>52.0</v>
      </c>
      <c r="I197" s="14">
        <f t="shared" si="5"/>
        <v>2</v>
      </c>
      <c r="J197" s="13" t="s">
        <v>27</v>
      </c>
      <c r="K197" s="13" t="s">
        <v>28</v>
      </c>
      <c r="L197" s="13" t="s">
        <v>28</v>
      </c>
      <c r="M197" s="13" t="s">
        <v>27</v>
      </c>
      <c r="N197" s="13" t="s">
        <v>29</v>
      </c>
      <c r="O197" s="13" t="s">
        <v>30</v>
      </c>
      <c r="P197" s="24" t="s">
        <v>33</v>
      </c>
      <c r="Q197" s="24" t="s">
        <v>33</v>
      </c>
      <c r="R197" s="24" t="s">
        <v>33</v>
      </c>
      <c r="S197" s="24" t="s">
        <v>33</v>
      </c>
      <c r="T197" s="13" t="s">
        <v>40</v>
      </c>
      <c r="U197" s="13" t="s">
        <v>32</v>
      </c>
    </row>
    <row r="198">
      <c r="A198" s="13" t="s">
        <v>621</v>
      </c>
      <c r="B198" s="13" t="s">
        <v>622</v>
      </c>
      <c r="C198" s="14">
        <v>8.9174249921E10</v>
      </c>
      <c r="D198" s="13" t="s">
        <v>23</v>
      </c>
      <c r="E198" s="13" t="s">
        <v>109</v>
      </c>
      <c r="F198" s="13" t="s">
        <v>623</v>
      </c>
      <c r="G198" s="13" t="s">
        <v>26</v>
      </c>
      <c r="H198" s="14">
        <v>41.0</v>
      </c>
      <c r="I198" s="14">
        <f t="shared" si="5"/>
        <v>2</v>
      </c>
      <c r="J198" s="13" t="s">
        <v>27</v>
      </c>
      <c r="K198" s="13" t="s">
        <v>48</v>
      </c>
      <c r="L198" s="13" t="s">
        <v>48</v>
      </c>
      <c r="M198" s="13" t="s">
        <v>39</v>
      </c>
      <c r="N198" s="13" t="s">
        <v>29</v>
      </c>
      <c r="O198" s="13" t="s">
        <v>31</v>
      </c>
      <c r="P198" s="24" t="s">
        <v>33</v>
      </c>
      <c r="Q198" s="24" t="s">
        <v>33</v>
      </c>
      <c r="R198" s="24" t="s">
        <v>33</v>
      </c>
      <c r="S198" s="24" t="s">
        <v>33</v>
      </c>
      <c r="T198" s="13"/>
      <c r="U198" s="13"/>
    </row>
    <row r="199">
      <c r="A199" s="13" t="s">
        <v>624</v>
      </c>
      <c r="B199" s="20" t="s">
        <v>625</v>
      </c>
      <c r="C199" s="14">
        <v>8.9374741119E10</v>
      </c>
      <c r="D199" s="13" t="s">
        <v>23</v>
      </c>
      <c r="E199" s="13" t="s">
        <v>53</v>
      </c>
      <c r="F199" s="13" t="s">
        <v>54</v>
      </c>
      <c r="G199" s="13" t="s">
        <v>38</v>
      </c>
      <c r="H199" s="14">
        <v>25.0</v>
      </c>
      <c r="I199" s="14">
        <f t="shared" si="5"/>
        <v>4</v>
      </c>
      <c r="J199" s="13" t="s">
        <v>27</v>
      </c>
      <c r="K199" s="13" t="s">
        <v>27</v>
      </c>
      <c r="L199" s="13" t="s">
        <v>27</v>
      </c>
      <c r="M199" s="13" t="s">
        <v>27</v>
      </c>
      <c r="N199" s="13" t="s">
        <v>29</v>
      </c>
      <c r="O199" s="13" t="s">
        <v>31</v>
      </c>
      <c r="P199" s="13" t="s">
        <v>40</v>
      </c>
      <c r="Q199" s="13" t="s">
        <v>32</v>
      </c>
      <c r="R199" s="13" t="s">
        <v>40</v>
      </c>
      <c r="S199" s="13" t="s">
        <v>32</v>
      </c>
      <c r="T199" s="13" t="s">
        <v>29</v>
      </c>
      <c r="U199" s="13" t="s">
        <v>30</v>
      </c>
    </row>
    <row r="200">
      <c r="A200" s="13" t="s">
        <v>626</v>
      </c>
      <c r="B200" s="13" t="s">
        <v>627</v>
      </c>
      <c r="C200" s="14">
        <v>8.9304070991E10</v>
      </c>
      <c r="D200" s="13" t="s">
        <v>23</v>
      </c>
      <c r="E200" s="13" t="s">
        <v>120</v>
      </c>
      <c r="F200" s="13" t="s">
        <v>121</v>
      </c>
      <c r="G200" s="13" t="s">
        <v>26</v>
      </c>
      <c r="H200" s="14">
        <v>55.0</v>
      </c>
      <c r="I200" s="14">
        <f t="shared" si="5"/>
        <v>2</v>
      </c>
      <c r="J200" s="13" t="s">
        <v>27</v>
      </c>
      <c r="K200" s="13" t="s">
        <v>39</v>
      </c>
      <c r="L200" s="13" t="s">
        <v>28</v>
      </c>
      <c r="M200" s="13" t="s">
        <v>28</v>
      </c>
      <c r="N200" s="13" t="s">
        <v>40</v>
      </c>
      <c r="O200" s="13" t="s">
        <v>32</v>
      </c>
      <c r="P200" s="13"/>
      <c r="Q200" s="13"/>
      <c r="R200" s="24" t="s">
        <v>33</v>
      </c>
      <c r="S200" s="24" t="s">
        <v>33</v>
      </c>
      <c r="T200" s="24" t="s">
        <v>33</v>
      </c>
      <c r="U200" s="24" t="s">
        <v>33</v>
      </c>
    </row>
    <row r="201">
      <c r="A201" s="13" t="s">
        <v>628</v>
      </c>
      <c r="B201" s="13" t="s">
        <v>629</v>
      </c>
      <c r="C201" s="14">
        <v>8.90424781E10</v>
      </c>
      <c r="D201" s="13" t="s">
        <v>52</v>
      </c>
      <c r="E201" s="13" t="s">
        <v>630</v>
      </c>
      <c r="F201" s="13" t="s">
        <v>631</v>
      </c>
      <c r="G201" s="13" t="s">
        <v>38</v>
      </c>
      <c r="H201" s="14">
        <v>44.0</v>
      </c>
      <c r="I201" s="14">
        <f t="shared" si="5"/>
        <v>4</v>
      </c>
      <c r="J201" s="13" t="s">
        <v>39</v>
      </c>
      <c r="K201" s="13" t="s">
        <v>27</v>
      </c>
      <c r="L201" s="13" t="s">
        <v>39</v>
      </c>
      <c r="M201" s="13" t="s">
        <v>39</v>
      </c>
      <c r="N201" s="13"/>
      <c r="O201" s="13"/>
      <c r="P201" s="13" t="s">
        <v>40</v>
      </c>
      <c r="Q201" s="13" t="s">
        <v>32</v>
      </c>
      <c r="R201" s="13"/>
      <c r="S201" s="13"/>
      <c r="T201" s="13"/>
      <c r="U201" s="13"/>
    </row>
    <row r="202">
      <c r="A202" s="13" t="s">
        <v>632</v>
      </c>
      <c r="B202" s="18" t="s">
        <v>633</v>
      </c>
      <c r="C202" s="14">
        <v>8.9064006239E10</v>
      </c>
      <c r="D202" s="13" t="s">
        <v>23</v>
      </c>
      <c r="E202" s="13" t="s">
        <v>187</v>
      </c>
      <c r="F202" s="13" t="s">
        <v>188</v>
      </c>
      <c r="G202" s="13" t="s">
        <v>38</v>
      </c>
      <c r="H202" s="14">
        <v>40.0</v>
      </c>
      <c r="I202" s="14">
        <f t="shared" si="5"/>
        <v>2</v>
      </c>
      <c r="J202" s="13" t="s">
        <v>39</v>
      </c>
      <c r="K202" s="13" t="s">
        <v>27</v>
      </c>
      <c r="L202" s="13" t="s">
        <v>48</v>
      </c>
      <c r="M202" s="13" t="s">
        <v>48</v>
      </c>
      <c r="N202" s="13"/>
      <c r="O202" s="13"/>
      <c r="P202" s="13" t="s">
        <v>31</v>
      </c>
      <c r="Q202" s="13" t="s">
        <v>32</v>
      </c>
      <c r="R202" s="24" t="s">
        <v>33</v>
      </c>
      <c r="S202" s="24" t="s">
        <v>33</v>
      </c>
      <c r="T202" s="13"/>
      <c r="U202" s="13"/>
    </row>
    <row r="203">
      <c r="A203" s="13" t="s">
        <v>634</v>
      </c>
      <c r="B203" s="20" t="s">
        <v>635</v>
      </c>
      <c r="C203" s="14">
        <v>8.9081727263E10</v>
      </c>
      <c r="D203" s="13" t="s">
        <v>23</v>
      </c>
      <c r="E203" s="13" t="s">
        <v>381</v>
      </c>
      <c r="F203" s="13" t="s">
        <v>636</v>
      </c>
      <c r="G203" s="13" t="s">
        <v>26</v>
      </c>
      <c r="H203" s="14">
        <v>34.0</v>
      </c>
      <c r="I203" s="14">
        <f t="shared" si="5"/>
        <v>4</v>
      </c>
      <c r="J203" s="13" t="s">
        <v>39</v>
      </c>
      <c r="K203" s="13" t="s">
        <v>39</v>
      </c>
      <c r="L203" s="13" t="s">
        <v>39</v>
      </c>
      <c r="M203" s="13" t="s">
        <v>27</v>
      </c>
      <c r="N203" s="13"/>
      <c r="O203" s="13"/>
      <c r="P203" s="13"/>
      <c r="Q203" s="13"/>
      <c r="R203" s="13"/>
      <c r="S203" s="13"/>
      <c r="T203" s="13" t="s">
        <v>31</v>
      </c>
      <c r="U203" s="13" t="s">
        <v>32</v>
      </c>
    </row>
    <row r="204">
      <c r="A204" s="13" t="s">
        <v>637</v>
      </c>
      <c r="B204" s="13" t="s">
        <v>638</v>
      </c>
      <c r="C204" s="14">
        <v>8.9167787739E10</v>
      </c>
      <c r="D204" s="13" t="s">
        <v>23</v>
      </c>
      <c r="E204" s="13" t="s">
        <v>77</v>
      </c>
      <c r="F204" s="13" t="s">
        <v>77</v>
      </c>
      <c r="G204" s="13" t="s">
        <v>38</v>
      </c>
      <c r="H204" s="14">
        <v>42.0</v>
      </c>
      <c r="I204" s="14">
        <f t="shared" si="5"/>
        <v>2</v>
      </c>
      <c r="J204" s="13" t="s">
        <v>39</v>
      </c>
      <c r="K204" s="13" t="s">
        <v>27</v>
      </c>
      <c r="L204" s="13" t="s">
        <v>48</v>
      </c>
      <c r="M204" s="13" t="s">
        <v>48</v>
      </c>
      <c r="N204" s="13"/>
      <c r="O204" s="13"/>
      <c r="P204" s="13" t="s">
        <v>29</v>
      </c>
      <c r="Q204" s="13" t="s">
        <v>30</v>
      </c>
      <c r="R204" s="24" t="s">
        <v>33</v>
      </c>
      <c r="S204" s="24" t="s">
        <v>33</v>
      </c>
      <c r="T204" s="24" t="s">
        <v>33</v>
      </c>
      <c r="U204" s="24" t="s">
        <v>33</v>
      </c>
    </row>
    <row r="205">
      <c r="A205" s="13" t="s">
        <v>639</v>
      </c>
      <c r="B205" s="13" t="s">
        <v>640</v>
      </c>
      <c r="C205" s="14">
        <v>8.9168048734E10</v>
      </c>
      <c r="D205" s="13" t="s">
        <v>23</v>
      </c>
      <c r="E205" s="13" t="s">
        <v>36</v>
      </c>
      <c r="F205" s="13" t="s">
        <v>641</v>
      </c>
      <c r="G205" s="13" t="s">
        <v>26</v>
      </c>
      <c r="H205" s="14">
        <v>35.0</v>
      </c>
      <c r="I205" s="14">
        <f t="shared" si="5"/>
        <v>2</v>
      </c>
      <c r="J205" s="13" t="s">
        <v>48</v>
      </c>
      <c r="K205" s="13" t="s">
        <v>27</v>
      </c>
      <c r="L205" s="13" t="s">
        <v>39</v>
      </c>
      <c r="M205" s="13" t="s">
        <v>48</v>
      </c>
      <c r="N205" s="13"/>
      <c r="O205" s="13"/>
      <c r="P205" s="13" t="s">
        <v>31</v>
      </c>
      <c r="Q205" s="13" t="s">
        <v>32</v>
      </c>
      <c r="R205" s="13"/>
      <c r="S205" s="13"/>
      <c r="T205" s="13"/>
      <c r="U205" s="13"/>
    </row>
    <row r="206">
      <c r="A206" s="13" t="s">
        <v>642</v>
      </c>
      <c r="B206" s="20" t="s">
        <v>643</v>
      </c>
      <c r="C206" s="14">
        <v>8.9119960778E10</v>
      </c>
      <c r="D206" s="13" t="s">
        <v>23</v>
      </c>
      <c r="E206" s="13" t="s">
        <v>147</v>
      </c>
      <c r="F206" s="13" t="s">
        <v>147</v>
      </c>
      <c r="G206" s="13" t="s">
        <v>26</v>
      </c>
      <c r="H206" s="14">
        <v>50.0</v>
      </c>
      <c r="I206" s="14">
        <f t="shared" si="5"/>
        <v>3</v>
      </c>
      <c r="J206" s="13" t="s">
        <v>39</v>
      </c>
      <c r="K206" s="13" t="s">
        <v>27</v>
      </c>
      <c r="L206" s="13" t="s">
        <v>48</v>
      </c>
      <c r="M206" s="13" t="s">
        <v>39</v>
      </c>
      <c r="N206" s="13"/>
      <c r="O206" s="13"/>
      <c r="P206" s="13" t="s">
        <v>40</v>
      </c>
      <c r="Q206" s="13" t="s">
        <v>32</v>
      </c>
      <c r="R206" s="13"/>
      <c r="S206" s="13"/>
      <c r="T206" s="13"/>
      <c r="U206" s="13"/>
    </row>
    <row r="207">
      <c r="A207" s="13" t="s">
        <v>644</v>
      </c>
      <c r="B207" s="20" t="s">
        <v>645</v>
      </c>
      <c r="C207" s="14">
        <v>8.9244436996E10</v>
      </c>
      <c r="D207" s="13" t="s">
        <v>23</v>
      </c>
      <c r="E207" s="13" t="s">
        <v>646</v>
      </c>
      <c r="F207" s="13" t="s">
        <v>647</v>
      </c>
      <c r="G207" s="13" t="s">
        <v>26</v>
      </c>
      <c r="H207" s="14">
        <v>18.0</v>
      </c>
      <c r="I207" s="14">
        <f t="shared" si="5"/>
        <v>3</v>
      </c>
      <c r="J207" s="13" t="s">
        <v>39</v>
      </c>
      <c r="K207" s="13" t="s">
        <v>27</v>
      </c>
      <c r="L207" s="13" t="s">
        <v>39</v>
      </c>
      <c r="M207" s="13" t="s">
        <v>48</v>
      </c>
      <c r="N207" s="13"/>
      <c r="O207" s="13"/>
      <c r="P207" s="13" t="s">
        <v>29</v>
      </c>
      <c r="Q207" s="13" t="s">
        <v>31</v>
      </c>
      <c r="R207" s="13"/>
      <c r="S207" s="13"/>
      <c r="T207" s="13"/>
      <c r="U207" s="13"/>
    </row>
    <row r="208">
      <c r="A208" s="13" t="s">
        <v>648</v>
      </c>
      <c r="B208" s="20" t="s">
        <v>649</v>
      </c>
      <c r="C208" s="14">
        <v>8.9273039771E10</v>
      </c>
      <c r="D208" s="13" t="s">
        <v>23</v>
      </c>
      <c r="E208" s="13" t="s">
        <v>131</v>
      </c>
      <c r="F208" s="13" t="s">
        <v>54</v>
      </c>
      <c r="G208" s="13" t="s">
        <v>38</v>
      </c>
      <c r="H208" s="14">
        <v>42.0</v>
      </c>
      <c r="I208" s="14">
        <f t="shared" si="5"/>
        <v>3</v>
      </c>
      <c r="J208" s="13" t="s">
        <v>39</v>
      </c>
      <c r="K208" s="13" t="s">
        <v>27</v>
      </c>
      <c r="L208" s="13" t="s">
        <v>48</v>
      </c>
      <c r="M208" s="13" t="s">
        <v>39</v>
      </c>
      <c r="N208" s="13"/>
      <c r="O208" s="13"/>
      <c r="P208" s="13" t="s">
        <v>29</v>
      </c>
      <c r="Q208" s="13" t="s">
        <v>31</v>
      </c>
      <c r="R208" s="13"/>
      <c r="S208" s="13"/>
      <c r="T208" s="13"/>
      <c r="U208" s="13"/>
    </row>
    <row r="209">
      <c r="A209" s="13" t="s">
        <v>650</v>
      </c>
      <c r="B209" s="20" t="s">
        <v>651</v>
      </c>
      <c r="C209" s="14">
        <v>8.9166188342E10</v>
      </c>
      <c r="D209" s="13" t="s">
        <v>23</v>
      </c>
      <c r="E209" s="13" t="s">
        <v>652</v>
      </c>
      <c r="F209" s="13" t="s">
        <v>76</v>
      </c>
      <c r="G209" s="13" t="s">
        <v>38</v>
      </c>
      <c r="H209" s="14">
        <v>53.0</v>
      </c>
      <c r="I209" s="14">
        <f t="shared" si="5"/>
        <v>4</v>
      </c>
      <c r="J209" s="13" t="s">
        <v>39</v>
      </c>
      <c r="K209" s="13" t="s">
        <v>27</v>
      </c>
      <c r="L209" s="13" t="s">
        <v>39</v>
      </c>
      <c r="M209" s="13" t="s">
        <v>39</v>
      </c>
      <c r="P209" s="13" t="s">
        <v>31</v>
      </c>
      <c r="Q209" s="13" t="s">
        <v>32</v>
      </c>
    </row>
    <row r="210">
      <c r="A210" s="13" t="s">
        <v>653</v>
      </c>
      <c r="B210" s="13" t="s">
        <v>654</v>
      </c>
      <c r="C210" s="14">
        <v>8.9139676837E10</v>
      </c>
      <c r="D210" s="13" t="s">
        <v>23</v>
      </c>
      <c r="E210" s="13" t="s">
        <v>655</v>
      </c>
      <c r="F210" s="13" t="s">
        <v>616</v>
      </c>
      <c r="G210" s="13" t="s">
        <v>38</v>
      </c>
      <c r="H210" s="14">
        <v>33.0</v>
      </c>
      <c r="I210" s="14">
        <f>COUNTIF(J210:M210, "Да")</f>
        <v>1</v>
      </c>
      <c r="J210" s="13" t="s">
        <v>48</v>
      </c>
      <c r="K210" s="13" t="s">
        <v>27</v>
      </c>
      <c r="L210" s="13" t="s">
        <v>48</v>
      </c>
      <c r="M210" s="13" t="s">
        <v>39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656</v>
      </c>
      <c r="B211" s="13" t="s">
        <v>657</v>
      </c>
      <c r="C211" s="14">
        <v>8.9162052211E10</v>
      </c>
      <c r="D211" s="13" t="s">
        <v>52</v>
      </c>
      <c r="E211" s="13" t="s">
        <v>77</v>
      </c>
      <c r="F211" s="13" t="s">
        <v>77</v>
      </c>
      <c r="G211" s="13" t="s">
        <v>26</v>
      </c>
      <c r="H211" s="14">
        <v>33.0</v>
      </c>
      <c r="I211" s="14">
        <f>COUNTIF(J211:M211, "Да")+COUNTIF(J211:M211, "Запас")</f>
        <v>3</v>
      </c>
      <c r="J211" s="13" t="s">
        <v>48</v>
      </c>
      <c r="K211" s="13" t="s">
        <v>27</v>
      </c>
      <c r="L211" s="13" t="s">
        <v>39</v>
      </c>
      <c r="M211" s="13" t="s">
        <v>39</v>
      </c>
      <c r="N211" s="13"/>
      <c r="O211" s="13"/>
      <c r="P211" s="13" t="s">
        <v>29</v>
      </c>
      <c r="Q211" s="13" t="s">
        <v>30</v>
      </c>
      <c r="R211" s="13"/>
      <c r="S211" s="13"/>
      <c r="T211" s="13"/>
      <c r="U211" s="13"/>
      <c r="V211" s="13"/>
    </row>
  </sheetData>
  <conditionalFormatting sqref="H19:H20 H23:H26 H28">
    <cfRule type="cellIs" dxfId="0" priority="1" operator="notBetween">
      <formula>18</formula>
      <formula>55</formula>
    </cfRule>
  </conditionalFormatting>
  <conditionalFormatting sqref="I19:I20 I23:I28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7 A29:A996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28"/>
    <hyperlink r:id="rId13" ref="B31"/>
    <hyperlink r:id="rId14" ref="B34"/>
    <hyperlink r:id="rId15" ref="B37"/>
    <hyperlink r:id="rId16" ref="B38"/>
    <hyperlink r:id="rId17" ref="B39"/>
    <hyperlink r:id="rId18" ref="B40"/>
    <hyperlink r:id="rId19" ref="B41"/>
    <hyperlink r:id="rId20" ref="B42"/>
    <hyperlink r:id="rId21" ref="B45"/>
    <hyperlink r:id="rId22" ref="B49"/>
    <hyperlink r:id="rId23" ref="B55"/>
    <hyperlink r:id="rId24" ref="B58"/>
    <hyperlink r:id="rId25" ref="B59"/>
    <hyperlink r:id="rId26" ref="B64"/>
    <hyperlink r:id="rId27" ref="B65"/>
    <hyperlink r:id="rId28" ref="B71"/>
    <hyperlink r:id="rId29" ref="B73"/>
    <hyperlink r:id="rId30" ref="B74"/>
    <hyperlink r:id="rId31" ref="B85"/>
    <hyperlink r:id="rId32" ref="B87"/>
    <hyperlink r:id="rId33" ref="B90"/>
    <hyperlink r:id="rId34" ref="B96"/>
    <hyperlink r:id="rId35" ref="B100"/>
    <hyperlink r:id="rId36" ref="B106"/>
    <hyperlink r:id="rId37" ref="B107"/>
    <hyperlink r:id="rId38" ref="B108"/>
    <hyperlink r:id="rId39" ref="B110"/>
    <hyperlink r:id="rId40" ref="B111"/>
    <hyperlink r:id="rId41" ref="B112"/>
    <hyperlink r:id="rId42" ref="B113"/>
    <hyperlink r:id="rId43" ref="B115"/>
    <hyperlink r:id="rId44" ref="B121"/>
    <hyperlink r:id="rId45" ref="B123"/>
    <hyperlink r:id="rId46" ref="B125"/>
    <hyperlink r:id="rId47" ref="B126"/>
    <hyperlink r:id="rId48" ref="B128"/>
    <hyperlink r:id="rId49" ref="B130"/>
    <hyperlink r:id="rId50" ref="B133"/>
    <hyperlink r:id="rId51" ref="B135"/>
    <hyperlink r:id="rId52" ref="B146"/>
    <hyperlink r:id="rId53" ref="B147"/>
    <hyperlink r:id="rId54" ref="B148"/>
    <hyperlink r:id="rId55" ref="B151"/>
    <hyperlink r:id="rId56" ref="B152"/>
    <hyperlink r:id="rId57" ref="B153"/>
    <hyperlink r:id="rId58" ref="B155"/>
    <hyperlink r:id="rId59" ref="B161"/>
    <hyperlink r:id="rId60" ref="B162"/>
    <hyperlink r:id="rId61" ref="B165"/>
    <hyperlink r:id="rId62" ref="B170"/>
    <hyperlink r:id="rId63" ref="B171"/>
    <hyperlink r:id="rId64" ref="B173"/>
    <hyperlink r:id="rId65" ref="B184"/>
    <hyperlink r:id="rId66" ref="B185"/>
    <hyperlink r:id="rId67" ref="B188"/>
    <hyperlink r:id="rId68" ref="B192"/>
    <hyperlink r:id="rId69" ref="B193"/>
    <hyperlink r:id="rId70" ref="B196"/>
    <hyperlink r:id="rId71" ref="B199"/>
    <hyperlink r:id="rId72" ref="B202"/>
    <hyperlink r:id="rId73" ref="B203"/>
    <hyperlink r:id="rId74" ref="B206"/>
    <hyperlink r:id="rId75" ref="B207"/>
    <hyperlink r:id="rId76" ref="B208"/>
    <hyperlink r:id="rId77" ref="B209"/>
  </hyperlinks>
  <drawing r:id="rId7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658</v>
      </c>
      <c r="C1" s="21" t="s">
        <v>659</v>
      </c>
      <c r="D1" s="21" t="s">
        <v>660</v>
      </c>
      <c r="E1" s="21" t="s">
        <v>661</v>
      </c>
    </row>
    <row r="2">
      <c r="A2" s="21" t="s">
        <v>40</v>
      </c>
      <c r="B2" s="29" t="s">
        <v>662</v>
      </c>
      <c r="C2" s="29" t="s">
        <v>663</v>
      </c>
      <c r="D2" s="29" t="s">
        <v>664</v>
      </c>
      <c r="E2" s="29" t="s">
        <v>665</v>
      </c>
    </row>
    <row r="3">
      <c r="A3" s="21" t="s">
        <v>29</v>
      </c>
      <c r="B3" s="30" t="s">
        <v>666</v>
      </c>
      <c r="C3" s="30" t="s">
        <v>667</v>
      </c>
      <c r="D3" s="29" t="s">
        <v>668</v>
      </c>
      <c r="E3" s="29" t="s">
        <v>669</v>
      </c>
    </row>
    <row r="5">
      <c r="A5" s="21" t="s">
        <v>32</v>
      </c>
      <c r="B5" s="29" t="s">
        <v>670</v>
      </c>
      <c r="C5" s="29" t="s">
        <v>671</v>
      </c>
      <c r="D5" s="29" t="s">
        <v>672</v>
      </c>
      <c r="E5" s="29" t="s">
        <v>673</v>
      </c>
    </row>
    <row r="6">
      <c r="A6" s="21" t="s">
        <v>30</v>
      </c>
      <c r="B6" s="29" t="s">
        <v>674</v>
      </c>
      <c r="C6" s="29" t="s">
        <v>675</v>
      </c>
      <c r="D6" s="29" t="s">
        <v>676</v>
      </c>
      <c r="E6" s="29" t="s">
        <v>677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678</v>
      </c>
      <c r="B1" s="21" t="s">
        <v>679</v>
      </c>
    </row>
    <row r="2">
      <c r="A2" s="21" t="s">
        <v>40</v>
      </c>
      <c r="B2" s="21" t="s">
        <v>680</v>
      </c>
    </row>
    <row r="3">
      <c r="A3" s="21" t="s">
        <v>29</v>
      </c>
      <c r="B3" s="21" t="s">
        <v>681</v>
      </c>
    </row>
    <row r="5">
      <c r="A5" s="21" t="s">
        <v>32</v>
      </c>
      <c r="B5" s="21" t="s">
        <v>681</v>
      </c>
    </row>
    <row r="6">
      <c r="A6" s="21" t="s">
        <v>30</v>
      </c>
      <c r="B6" s="21" t="s">
        <v>682</v>
      </c>
    </row>
  </sheetData>
  <drawing r:id="rId1"/>
</worksheet>
</file>