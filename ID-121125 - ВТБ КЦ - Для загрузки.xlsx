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участники'!$A$1:$AA$296</definedName>
  </definedNames>
  <calcPr/>
</workbook>
</file>

<file path=xl/sharedStrings.xml><?xml version="1.0" encoding="utf-8"?>
<sst xmlns="http://schemas.openxmlformats.org/spreadsheetml/2006/main" count="4715" uniqueCount="905">
  <si>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</si>
  <si>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</si>
  <si>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</si>
  <si>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</si>
  <si>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</si>
  <si>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</si>
  <si>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</si>
  <si>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</si>
  <si>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</si>
  <si>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</si>
  <si>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</si>
  <si>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</si>
  <si>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</si>
  <si>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</si>
  <si>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</si>
  <si>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</si>
  <si>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</si>
  <si>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</si>
  <si>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</si>
  <si>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</si>
  <si>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</si>
  <si>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</si>
  <si>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</si>
  <si>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</si>
  <si>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</si>
  <si>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</si>
  <si>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</si>
  <si>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</si>
  <si>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</si>
  <si>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</si>
  <si>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</si>
  <si>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</si>
  <si>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</si>
  <si>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</si>
  <si>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</si>
  <si>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</si>
  <si>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</si>
  <si>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</si>
  <si>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</si>
  <si>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</si>
  <si>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</si>
  <si>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</si>
  <si>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</si>
  <si>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</si>
  <si>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</si>
  <si>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</si>
  <si>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</si>
  <si>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</si>
  <si>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</si>
  <si>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</si>
  <si>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</si>
  <si>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</si>
  <si>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</si>
  <si>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</si>
  <si>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</si>
  <si>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</si>
  <si>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</si>
  <si>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</si>
  <si>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</si>
  <si>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</si>
  <si>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</si>
  <si>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</si>
  <si>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</si>
  <si>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</si>
  <si>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</si>
  <si>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</si>
  <si>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</si>
  <si>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</si>
  <si>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</si>
  <si>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</si>
  <si>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</si>
  <si>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</si>
  <si>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</si>
  <si>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</si>
  <si>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</si>
  <si>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</si>
  <si>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</si>
  <si>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</si>
  <si>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</si>
  <si>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</si>
  <si>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</si>
  <si>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</si>
  <si>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</si>
  <si>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</si>
  <si>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</si>
  <si>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</si>
  <si>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</si>
  <si>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</si>
  <si>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</si>
  <si>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</si>
  <si>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</si>
  <si>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</si>
  <si>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</si>
  <si>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</si>
  <si>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</si>
  <si>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</si>
  <si>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</si>
  <si>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</si>
  <si>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</si>
  <si>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</si>
  <si>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</si>
  <si>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</si>
  <si>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</si>
  <si>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</si>
  <si>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</si>
  <si>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</si>
  <si>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</si>
  <si>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</si>
  <si>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</si>
  <si>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</si>
  <si>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</si>
  <si>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</si>
  <si>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</si>
  <si>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</si>
  <si>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</si>
  <si>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</si>
  <si>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</si>
  <si>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</si>
  <si>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</si>
  <si>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</si>
  <si>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</si>
  <si>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</si>
  <si>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</si>
  <si>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</si>
  <si>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</si>
  <si>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</si>
  <si>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</si>
  <si>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</si>
  <si>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</si>
  <si>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</si>
  <si>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</si>
  <si>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</si>
  <si>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</si>
  <si>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</si>
  <si>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</si>
  <si>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</si>
  <si>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</si>
  <si>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</si>
  <si>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</si>
  <si>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</si>
  <si>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</si>
  <si>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</si>
  <si>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</si>
  <si>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</si>
  <si>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</si>
  <si>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</si>
  <si>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</si>
  <si>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</si>
  <si>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</si>
  <si>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</si>
  <si>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</si>
  <si>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</si>
  <si>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</si>
  <si>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</si>
  <si>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</si>
  <si>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</si>
  <si>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</si>
  <si>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</si>
  <si>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</si>
  <si>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</si>
  <si>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</si>
  <si>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</si>
  <si>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</si>
  <si>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</si>
  <si>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</si>
  <si>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</si>
  <si>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</si>
  <si>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</si>
  <si>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</si>
  <si>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</si>
  <si>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</si>
  <si>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</si>
  <si>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</si>
  <si>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</si>
  <si>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</si>
  <si>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</si>
  <si>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</si>
  <si>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</si>
  <si>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</si>
  <si>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</si>
  <si>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</si>
  <si>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</si>
  <si>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</si>
  <si>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</si>
  <si>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</si>
  <si>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</si>
  <si>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</si>
  <si>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</si>
  <si>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</si>
  <si>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</si>
  <si>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</si>
  <si>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</si>
  <si>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</si>
  <si>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</si>
  <si>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</si>
  <si>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</si>
  <si>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</si>
  <si>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</si>
  <si>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</si>
  <si>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</si>
  <si>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</si>
  <si>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</si>
  <si>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</si>
  <si>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</si>
  <si>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</si>
  <si>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</si>
  <si>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</si>
  <si>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</si>
  <si>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</si>
  <si>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</si>
  <si>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</si>
  <si>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</si>
  <si>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</si>
  <si>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</si>
  <si>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</si>
  <si>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</si>
  <si>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</si>
  <si>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</si>
  <si>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</si>
  <si>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</si>
  <si>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</si>
  <si>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</si>
  <si>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</si>
  <si>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</si>
  <si>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</si>
  <si>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</si>
  <si>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</si>
  <si>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</si>
  <si>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</si>
  <si>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</si>
  <si>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</si>
  <si>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</si>
  <si>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</si>
  <si>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</si>
  <si>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</si>
  <si>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</si>
  <si>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</si>
  <si>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</si>
  <si>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</si>
  <si>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</si>
  <si>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</si>
  <si>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</si>
  <si>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</si>
  <si>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</si>
  <si>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</si>
  <si>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</si>
  <si>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</si>
  <si>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</si>
  <si>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</si>
  <si>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</si>
  <si>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</si>
  <si>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</si>
  <si>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</si>
  <si>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</si>
  <si>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</si>
  <si>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</si>
  <si>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</si>
  <si>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</si>
  <si>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</si>
  <si>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</si>
  <si>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</si>
  <si>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</si>
  <si>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</si>
  <si>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</si>
  <si>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</si>
  <si>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</si>
  <si>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</si>
  <si>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</si>
  <si>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</si>
  <si>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</si>
  <si>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</si>
  <si>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</si>
  <si>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</si>
  <si>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</si>
  <si>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</si>
  <si>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</si>
  <si>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</si>
  <si>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</si>
  <si>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</si>
  <si>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</si>
  <si>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</si>
  <si>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</si>
  <si>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</si>
  <si>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</si>
  <si>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</si>
  <si>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</si>
  <si>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</si>
  <si>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</si>
  <si>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</si>
  <si>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</si>
  <si>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</si>
  <si>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</si>
  <si>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</si>
  <si>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</si>
  <si>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</si>
  <si>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</si>
  <si>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</si>
  <si>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</si>
  <si>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</si>
  <si>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</si>
  <si>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</si>
  <si>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</si>
  <si>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</si>
  <si>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</si>
  <si>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</si>
  <si>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</si>
  <si>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</si>
  <si>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</si>
  <si>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</si>
  <si>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</si>
  <si>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</si>
  <si>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</si>
  <si>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</si>
  <si>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</si>
  <si>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</si>
  <si>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</si>
  <si>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</si>
  <si>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</si>
  <si>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</si>
  <si>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</si>
  <si>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</si>
  <si>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</si>
  <si>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</si>
  <si>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</si>
  <si>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</si>
  <si>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</si>
  <si>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</si>
  <si>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</si>
  <si>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</si>
  <si>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</si>
  <si>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</si>
  <si>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</si>
  <si>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</si>
  <si>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</si>
  <si>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</si>
  <si>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</si>
  <si>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</si>
  <si>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</si>
  <si>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</si>
  <si>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</si>
  <si>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</si>
  <si>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</si>
  <si>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</si>
  <si>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</si>
  <si>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</si>
  <si>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</si>
  <si>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</si>
  <si>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</si>
  <si>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</si>
  <si>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</si>
  <si>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</si>
  <si>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</si>
  <si>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</si>
  <si>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</si>
  <si>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</si>
  <si>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</si>
  <si>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</si>
  <si>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</si>
  <si>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</si>
  <si>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</si>
  <si>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</si>
  <si>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</si>
  <si>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</si>
  <si>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</si>
  <si>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</si>
  <si>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</si>
  <si>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</si>
  <si>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</si>
  <si>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</si>
  <si>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</si>
  <si>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</si>
  <si>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</si>
  <si>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</si>
  <si>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</si>
  <si>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</si>
  <si>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</si>
  <si>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</si>
  <si>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</si>
  <si>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</si>
  <si>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</si>
  <si>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</si>
  <si>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</si>
  <si>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</si>
  <si>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</si>
  <si>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</si>
  <si>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</si>
  <si>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</si>
  <si>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</si>
  <si>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</si>
  <si>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</si>
  <si>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</si>
  <si>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</si>
  <si>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</si>
  <si>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</si>
  <si>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</si>
  <si>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</si>
  <si>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</si>
  <si>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</si>
  <si>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</si>
  <si>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</si>
  <si>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</si>
  <si>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</si>
  <si>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</si>
  <si>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</si>
  <si>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</si>
  <si>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</si>
  <si>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</si>
  <si>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</si>
  <si>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</si>
  <si>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</si>
  <si>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</si>
  <si>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</si>
  <si>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</si>
  <si>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</si>
  <si>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</si>
  <si>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</si>
  <si>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</si>
  <si>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</si>
  <si>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</si>
  <si>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</si>
  <si>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</si>
  <si>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</si>
  <si>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</si>
  <si>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</si>
  <si>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</si>
  <si>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</si>
  <si>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</si>
  <si>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</si>
  <si>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</si>
  <si>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</si>
  <si>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</si>
  <si>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</si>
  <si>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</si>
  <si>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</si>
  <si>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</si>
  <si>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</si>
  <si>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</si>
  <si>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</si>
  <si>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</si>
  <si>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</si>
  <si>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</si>
  <si>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</si>
  <si>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</si>
  <si>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</si>
  <si>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</si>
  <si>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</si>
  <si>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</si>
  <si>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</si>
  <si>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</si>
  <si>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</si>
  <si>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</si>
  <si>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</si>
  <si>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</si>
  <si>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</si>
  <si>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</si>
  <si>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</si>
  <si>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</si>
  <si>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</si>
  <si>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</si>
  <si>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</si>
  <si>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</si>
  <si>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</si>
  <si>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</si>
  <si>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</si>
  <si>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</si>
  <si>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</si>
  <si>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</si>
  <si>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</si>
  <si>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</si>
  <si>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</si>
  <si>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</si>
  <si>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</si>
  <si>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</si>
  <si>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</si>
  <si>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</si>
  <si>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</si>
  <si>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</si>
  <si>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</si>
  <si>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</si>
  <si>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</si>
  <si>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</si>
  <si>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</si>
  <si>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</si>
  <si>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</si>
  <si>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</si>
  <si>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</si>
  <si>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</si>
  <si>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</si>
  <si>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</si>
  <si>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</si>
  <si>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</si>
  <si>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</si>
  <si>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</si>
  <si>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</si>
  <si>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</si>
  <si>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</si>
  <si>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</si>
  <si>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</si>
  <si>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</si>
  <si>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</si>
  <si>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</si>
  <si>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</si>
  <si>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</si>
  <si>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</si>
  <si>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</si>
  <si>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</si>
  <si>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</si>
  <si>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</si>
  <si>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</si>
  <si>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</si>
  <si>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</si>
  <si>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</si>
  <si>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</si>
  <si>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</si>
  <si>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</si>
  <si>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</si>
  <si>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</si>
  <si>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</si>
  <si>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</si>
  <si>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</si>
  <si>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</si>
  <si>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</si>
  <si>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</si>
  <si>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</si>
  <si>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</si>
  <si>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</si>
  <si>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</si>
  <si>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</si>
  <si>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</si>
  <si>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</si>
  <si>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</si>
  <si>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</si>
  <si>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</si>
  <si>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</si>
  <si>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</si>
  <si>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</si>
  <si>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</si>
  <si>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</si>
  <si>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</si>
  <si>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</si>
  <si>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</si>
  <si>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</si>
  <si>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</si>
  <si>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</si>
  <si>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</si>
  <si>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</si>
  <si>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</si>
  <si>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</si>
  <si>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</si>
  <si>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</si>
  <si>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</si>
  <si>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</si>
  <si>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</si>
  <si>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</si>
  <si>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</si>
  <si>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</si>
  <si>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</si>
  <si>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</si>
  <si>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</si>
  <si>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</si>
  <si>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</si>
  <si>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</si>
  <si>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</si>
  <si>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</si>
  <si>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</si>
  <si>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</si>
  <si>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</si>
  <si>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</si>
  <si>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</si>
  <si>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</si>
  <si>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</si>
  <si>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</si>
  <si>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</si>
  <si>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</si>
  <si>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</si>
  <si>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</si>
  <si>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</si>
  <si>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</si>
  <si>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</si>
  <si>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</si>
  <si>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</si>
  <si>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</si>
  <si>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</si>
  <si>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</si>
  <si>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</si>
  <si>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</si>
  <si>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</si>
  <si>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</si>
  <si>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</si>
  <si>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</si>
  <si>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</si>
  <si>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</si>
  <si>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</si>
  <si>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</si>
  <si>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</si>
  <si>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</si>
  <si>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</si>
  <si>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</si>
  <si>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</si>
  <si>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</si>
  <si>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</si>
  <si>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</si>
  <si>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</si>
  <si>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</si>
  <si>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</si>
  <si>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</si>
  <si>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</si>
  <si>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</si>
  <si>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</si>
  <si>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</si>
  <si>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</si>
  <si>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</si>
  <si>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</si>
  <si>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</si>
  <si>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</si>
  <si>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</si>
  <si>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</si>
  <si>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</si>
  <si>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</si>
  <si>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</si>
  <si>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</si>
  <si>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</si>
  <si>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</si>
  <si>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</si>
  <si>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</si>
  <si>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</si>
  <si>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</si>
  <si>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</si>
  <si>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</si>
  <si>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</si>
  <si>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</si>
  <si>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</si>
  <si>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</si>
  <si>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</si>
  <si>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</si>
  <si>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</si>
  <si>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</si>
  <si>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</si>
  <si>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</si>
  <si>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</si>
  <si>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</si>
  <si>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</si>
  <si>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</si>
  <si>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</si>
  <si>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</si>
  <si>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</si>
  <si>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</si>
  <si>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</si>
  <si>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</si>
  <si>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</si>
  <si>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</si>
  <si>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</si>
  <si>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</si>
  <si>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</si>
  <si>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</si>
  <si>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</si>
  <si>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</si>
  <si>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</si>
  <si>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</si>
  <si>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</si>
  <si>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</si>
  <si>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</si>
  <si>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</si>
  <si>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</si>
  <si>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</si>
  <si>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</si>
  <si>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</si>
  <si>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</si>
  <si>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</si>
  <si>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</si>
  <si>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</si>
  <si>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</si>
  <si>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</si>
  <si>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</si>
  <si>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</si>
  <si>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</si>
  <si>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</si>
  <si>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</si>
  <si>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</si>
  <si>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</si>
  <si>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</si>
  <si>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</si>
  <si>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</si>
  <si>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</si>
  <si>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</si>
  <si>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</si>
  <si>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</si>
  <si>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</si>
  <si>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</si>
  <si>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</si>
  <si>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</si>
  <si>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</si>
  <si>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</si>
  <si>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</si>
  <si>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</si>
  <si>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</si>
  <si>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</si>
  <si>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</si>
  <si>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</si>
  <si>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</si>
  <si>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</si>
  <si>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</si>
  <si>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</si>
  <si>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</si>
  <si>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</si>
  <si>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</si>
  <si>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</si>
  <si>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</si>
  <si>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</si>
  <si>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</si>
  <si>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</si>
  <si>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</si>
  <si>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</si>
  <si>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</si>
  <si>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</si>
  <si>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</si>
  <si>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</si>
  <si>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</si>
  <si>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</si>
  <si>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</si>
  <si>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</si>
  <si>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</si>
  <si>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</si>
  <si>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</si>
  <si>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</si>
  <si>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</si>
  <si>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</si>
  <si>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</si>
  <si>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</si>
  <si>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</si>
  <si>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</si>
  <si>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</si>
  <si>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</si>
  <si>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</si>
  <si>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</si>
  <si>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</si>
  <si>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</si>
  <si>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</si>
  <si>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</si>
  <si>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</si>
  <si>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</si>
  <si>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</si>
  <si>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Чебыкина Юлия Александровна</t>
  </si>
  <si>
    <t>https://t.me/YaMusenka</t>
  </si>
  <si>
    <t>Булатова Елена Анатольевна</t>
  </si>
  <si>
    <t>@elenabulatti</t>
  </si>
  <si>
    <t>Терещенко Юрий Андреевич</t>
  </si>
  <si>
    <t xml:space="preserve">t.me/uriyter </t>
  </si>
  <si>
    <t>Дмитриева Олеся Владимировна</t>
  </si>
  <si>
    <t>Olani11</t>
  </si>
  <si>
    <t>Галикеева Алсу Ильгизаровна</t>
  </si>
  <si>
    <t>@internationaltradin</t>
  </si>
  <si>
    <t>Удмуртская республика</t>
  </si>
  <si>
    <t>Овчинникова Марина Дмитриевна</t>
  </si>
  <si>
    <t xml:space="preserve">https://t.me/mariov </t>
  </si>
  <si>
    <t>Шумакова Юлия Юрьевна</t>
  </si>
  <si>
    <t>@YuliyaZN3</t>
  </si>
  <si>
    <t xml:space="preserve">Амурская область </t>
  </si>
  <si>
    <t xml:space="preserve">Благовещенск </t>
  </si>
  <si>
    <t>Филатова Анастасия Алексеевна</t>
  </si>
  <si>
    <t>https://t.me/filatovanastasia</t>
  </si>
  <si>
    <t>г. Саратов</t>
  </si>
  <si>
    <t>Попова Анна Александровна</t>
  </si>
  <si>
    <t>@NoyaFox</t>
  </si>
  <si>
    <t>Селиванова Татьяна Викторовна</t>
  </si>
  <si>
    <t>https://t.me/TSela_V</t>
  </si>
  <si>
    <t xml:space="preserve">Красноярск </t>
  </si>
  <si>
    <t>Пышный Евгений Александрович</t>
  </si>
  <si>
    <t>@jimmy_lanski</t>
  </si>
  <si>
    <t>Чернушка</t>
  </si>
  <si>
    <t>Голубцова Дарья Сергеевна</t>
  </si>
  <si>
    <t>@Urrrnicorn</t>
  </si>
  <si>
    <t>Заморова Анастасия Леонидовна</t>
  </si>
  <si>
    <t xml:space="preserve"> https://t.me/Anestych</t>
  </si>
  <si>
    <t>Псковская область</t>
  </si>
  <si>
    <t>Великие Луки</t>
  </si>
  <si>
    <t>Камалетдинов Ильдар Насыхович</t>
  </si>
  <si>
    <t>https://t.me/Ildar_kamaletdinow</t>
  </si>
  <si>
    <t>Ошмарина Светлана Николаевна</t>
  </si>
  <si>
    <t>t.me/oshmarinasvetlana</t>
  </si>
  <si>
    <t>Утюшева Анна Рашидовна</t>
  </si>
  <si>
    <t>@Anna86_U</t>
  </si>
  <si>
    <t xml:space="preserve">Липецкая обл </t>
  </si>
  <si>
    <t xml:space="preserve">Липецк </t>
  </si>
  <si>
    <t>Лобко Кристина Александровна</t>
  </si>
  <si>
    <t>https://t.me/Kristina_971</t>
  </si>
  <si>
    <t>Белов Александр Сергеевич</t>
  </si>
  <si>
    <t>@belovsan_87</t>
  </si>
  <si>
    <t xml:space="preserve">Нижегородский </t>
  </si>
  <si>
    <t>Горячева Элла Юрьевна</t>
  </si>
  <si>
    <t xml:space="preserve">https://t.me/ella15012 </t>
  </si>
  <si>
    <t xml:space="preserve">Ярославль </t>
  </si>
  <si>
    <t>Кузнецова Татьяна Викторовна</t>
  </si>
  <si>
    <t>https://t.me/TianaSmit85</t>
  </si>
  <si>
    <t>Кушниренко Вячеслав Леонидович</t>
  </si>
  <si>
    <t>VyacheslavKushn</t>
  </si>
  <si>
    <t>Ростов-на-Дону х</t>
  </si>
  <si>
    <t>Харькова Надежда Александровна</t>
  </si>
  <si>
    <t>@nadya13523</t>
  </si>
  <si>
    <t>Викторова Дарья Александровна</t>
  </si>
  <si>
    <t>https://t.me/DariaViktorova</t>
  </si>
  <si>
    <t>Вологда</t>
  </si>
  <si>
    <t>Скиба Ирина Викторовна</t>
  </si>
  <si>
    <t>@skibaby4</t>
  </si>
  <si>
    <t>Аношкина Светлана Андреевна</t>
  </si>
  <si>
    <t>https://t.me/Sweet_Dream2188</t>
  </si>
  <si>
    <t>МО</t>
  </si>
  <si>
    <t>Люберцы</t>
  </si>
  <si>
    <t>Фазлиахметова Айгуль Мударисовна</t>
  </si>
  <si>
    <t xml:space="preserve">https://t.me/Moonflower5791 </t>
  </si>
  <si>
    <t xml:space="preserve">Республика Татарстан </t>
  </si>
  <si>
    <t>Синицына Анна Сергеевна</t>
  </si>
  <si>
    <t>t.me/Anna_Sinic</t>
  </si>
  <si>
    <t>Селезнев Вадим Михайлович</t>
  </si>
  <si>
    <t>https://t.me/martymcflysdog</t>
  </si>
  <si>
    <t>Пищулина София Алексеевна</t>
  </si>
  <si>
    <t>https://t.me/SonyaGS</t>
  </si>
  <si>
    <t>Арефьев Юрий Юрьевич</t>
  </si>
  <si>
    <t>Ершова алена николаевна</t>
  </si>
  <si>
    <t>@bri_212</t>
  </si>
  <si>
    <t>Ниж.область</t>
  </si>
  <si>
    <t>Нижний новгород</t>
  </si>
  <si>
    <t>Толмачева Анна Сергеевна</t>
  </si>
  <si>
    <t>@Tolmacheva_Anna_S</t>
  </si>
  <si>
    <t>Даценко Елена Николаевна</t>
  </si>
  <si>
    <t>https://t.me/ElenaDatsenko</t>
  </si>
  <si>
    <t>Протвино</t>
  </si>
  <si>
    <t>Желтова Анна Сергеевна</t>
  </si>
  <si>
    <t>@ann0707ip</t>
  </si>
  <si>
    <t>Илюшенко Анна Алексеевна</t>
  </si>
  <si>
    <t>HTTPS://T.ME/MWIZ87</t>
  </si>
  <si>
    <t>Булычева Екатерина Сергеевна</t>
  </si>
  <si>
    <t>@Katrinbul</t>
  </si>
  <si>
    <t>Тольятти</t>
  </si>
  <si>
    <t>Каштанова Елена Викторовна</t>
  </si>
  <si>
    <t>Денисова Наталья Сергеевна</t>
  </si>
  <si>
    <t>@natalek_den</t>
  </si>
  <si>
    <t>Тульская область</t>
  </si>
  <si>
    <t>Тула</t>
  </si>
  <si>
    <t>Шведов Дмитрий Владимирович</t>
  </si>
  <si>
    <t>https://t.me/Shvedov_D</t>
  </si>
  <si>
    <t>Республика Карелия</t>
  </si>
  <si>
    <t>Петрозаводск</t>
  </si>
  <si>
    <t>Толоконцев Василий Валерьевич</t>
  </si>
  <si>
    <t>@TolokontsevVasilii</t>
  </si>
  <si>
    <t>Череповец</t>
  </si>
  <si>
    <t>Копицин Игорь Николаевич</t>
  </si>
  <si>
    <t xml:space="preserve">@ovisch </t>
  </si>
  <si>
    <t xml:space="preserve">Астраханская обл. </t>
  </si>
  <si>
    <t>Романов Михаил Валерьевич</t>
  </si>
  <si>
    <t>@MIKA_1332206</t>
  </si>
  <si>
    <t>Омская область</t>
  </si>
  <si>
    <t>Тимофеева Евгения Сергеевна</t>
  </si>
  <si>
    <t>@Evgenya_Timofeeva</t>
  </si>
  <si>
    <t>Тютина Александра Андреевна</t>
  </si>
  <si>
    <t>@aleksandra_qa</t>
  </si>
  <si>
    <t>Белуничева Эльвира Андреевна</t>
  </si>
  <si>
    <t>https://t.me/belunicheva</t>
  </si>
  <si>
    <t>Лобня</t>
  </si>
  <si>
    <t>Гончаренко Олеся Сергеевна</t>
  </si>
  <si>
    <t>@Lyasya1703</t>
  </si>
  <si>
    <t>НСО</t>
  </si>
  <si>
    <t>Опрокиднева Ирина Сергеевна</t>
  </si>
  <si>
    <t>@IrinaB56</t>
  </si>
  <si>
    <t xml:space="preserve">Оренбург </t>
  </si>
  <si>
    <t>Цыбина Наталья Валерьевна</t>
  </si>
  <si>
    <t>@NataliaTsybina</t>
  </si>
  <si>
    <t>Краснотурьинск</t>
  </si>
  <si>
    <t>Музалева Алла Александровна</t>
  </si>
  <si>
    <t xml:space="preserve">@museinlove </t>
  </si>
  <si>
    <t>Фонарев Юрий Андреевич</t>
  </si>
  <si>
    <t>https://t.me/OldSchoolla</t>
  </si>
  <si>
    <t>Корепанова Алсу Фанилевна</t>
  </si>
  <si>
    <t>@alsukorepanova</t>
  </si>
  <si>
    <t>Шавейко Екатерина Геннадьевна</t>
  </si>
  <si>
    <t>@K4372769</t>
  </si>
  <si>
    <t>Хисматулина Анастасия Владимировна</t>
  </si>
  <si>
    <t>@nastyatat18</t>
  </si>
  <si>
    <t>Кемеровская область</t>
  </si>
  <si>
    <t>Анжеро-Судженск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</si>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</sst>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5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8E7CC3"/>
        <bgColor rgb="FF8E7CC3"/>
      </patternFill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13" fontId="4" numFmtId="0" xfId="0" applyAlignment="1" applyFill="1" applyFont="1">
      <alignment vertical="bottom"/>
    </xf>
    <xf borderId="0" fillId="14" fontId="4" numFmtId="0" xfId="0" applyAlignment="1" applyFill="1" applyFont="1">
      <alignment horizontal="right" vertical="bottom"/>
    </xf>
    <xf borderId="0" fillId="14" fontId="4" numFmtId="0" xfId="0" applyAlignment="1" applyFont="1">
      <alignment horizontal="right" readingOrder="0"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07" Type="http://schemas.openxmlformats.org/officeDocument/2006/relationships/hyperlink" Target="about:blank" TargetMode="External"/><Relationship Id="rId106" Type="http://schemas.openxmlformats.org/officeDocument/2006/relationships/hyperlink" Target="https://t.me/ElenaDatsenko" TargetMode="External"/><Relationship Id="rId105" Type="http://schemas.openxmlformats.org/officeDocument/2006/relationships/hyperlink" Target="https://t.me/SonyaGS" TargetMode="External"/><Relationship Id="rId104" Type="http://schemas.openxmlformats.org/officeDocument/2006/relationships/hyperlink" Target="https://t.me/martymcflysdog" TargetMode="External"/><Relationship Id="rId109" Type="http://schemas.openxmlformats.org/officeDocument/2006/relationships/hyperlink" Target="https://t.me/belunicheva" TargetMode="External"/><Relationship Id="rId108" Type="http://schemas.openxmlformats.org/officeDocument/2006/relationships/hyperlink" Target="https://t.me/Shvedov_D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103" Type="http://schemas.openxmlformats.org/officeDocument/2006/relationships/hyperlink" Target="http://t.me/Anna_Sinic" TargetMode="External"/><Relationship Id="rId102" Type="http://schemas.openxmlformats.org/officeDocument/2006/relationships/hyperlink" Target="https://t.me/Moonflower5791" TargetMode="External"/><Relationship Id="rId101" Type="http://schemas.openxmlformats.org/officeDocument/2006/relationships/hyperlink" Target="https://t.me/Sweet_Dream2188" TargetMode="External"/><Relationship Id="rId100" Type="http://schemas.openxmlformats.org/officeDocument/2006/relationships/hyperlink" Target="https://t.me/DariaViktorova" TargetMode="External"/><Relationship Id="rId31" Type="http://schemas.openxmlformats.org/officeDocument/2006/relationships/hyperlink" Target="https://t.me/bagira_marks" TargetMode="External"/><Relationship Id="rId30" Type="http://schemas.openxmlformats.org/officeDocument/2006/relationships/hyperlink" Target="https://t.me/ElenKruglova" TargetMode="External"/><Relationship Id="rId33" Type="http://schemas.openxmlformats.org/officeDocument/2006/relationships/hyperlink" Target="https://t.me/OLga17o" TargetMode="External"/><Relationship Id="rId32" Type="http://schemas.openxmlformats.org/officeDocument/2006/relationships/hyperlink" Target="https://t.me/Antonio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20" Type="http://schemas.openxmlformats.org/officeDocument/2006/relationships/hyperlink" Target="http://t.me/Aigul_Dustanova" TargetMode="External"/><Relationship Id="rId22" Type="http://schemas.openxmlformats.org/officeDocument/2006/relationships/hyperlink" Target="https://t.me/valentine253" TargetMode="External"/><Relationship Id="rId21" Type="http://schemas.openxmlformats.org/officeDocument/2006/relationships/hyperlink" Target="https://t.me/irlikeve" TargetMode="External"/><Relationship Id="rId24" Type="http://schemas.openxmlformats.org/officeDocument/2006/relationships/hyperlink" Target="https://t.me/LyubaZhol" TargetMode="External"/><Relationship Id="rId23" Type="http://schemas.openxmlformats.org/officeDocument/2006/relationships/hyperlink" Target="https://t.me/uuuuttaa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95" Type="http://schemas.openxmlformats.org/officeDocument/2006/relationships/hyperlink" Target="https://t.me/Ildar_kamaletdinow" TargetMode="External"/><Relationship Id="rId94" Type="http://schemas.openxmlformats.org/officeDocument/2006/relationships/hyperlink" Target="https://t.me/Anestych" TargetMode="External"/><Relationship Id="rId97" Type="http://schemas.openxmlformats.org/officeDocument/2006/relationships/hyperlink" Target="https://t.me/Kristina_971" TargetMode="External"/><Relationship Id="rId96" Type="http://schemas.openxmlformats.org/officeDocument/2006/relationships/hyperlink" Target="http://t.me/oshmarinasvetlana" TargetMode="External"/><Relationship Id="rId11" Type="http://schemas.openxmlformats.org/officeDocument/2006/relationships/hyperlink" Target="https://t.me/demet_rus" TargetMode="External"/><Relationship Id="rId99" Type="http://schemas.openxmlformats.org/officeDocument/2006/relationships/hyperlink" Target="https://t.me/TianaSmit85" TargetMode="External"/><Relationship Id="rId10" Type="http://schemas.openxmlformats.org/officeDocument/2006/relationships/hyperlink" Target="http://t.me/anastas31415692" TargetMode="External"/><Relationship Id="rId98" Type="http://schemas.openxmlformats.org/officeDocument/2006/relationships/hyperlink" Target="https://t.me/ella15012" TargetMode="External"/><Relationship Id="rId13" Type="http://schemas.openxmlformats.org/officeDocument/2006/relationships/hyperlink" Target="https://t.me/nessy1998" TargetMode="External"/><Relationship Id="rId12" Type="http://schemas.openxmlformats.org/officeDocument/2006/relationships/hyperlink" Target="https://t.me/ernikoy" TargetMode="External"/><Relationship Id="rId91" Type="http://schemas.openxmlformats.org/officeDocument/2006/relationships/hyperlink" Target="https://t.me/mariov" TargetMode="External"/><Relationship Id="rId90" Type="http://schemas.openxmlformats.org/officeDocument/2006/relationships/hyperlink" Target="http://t.me/uriyter" TargetMode="External"/><Relationship Id="rId93" Type="http://schemas.openxmlformats.org/officeDocument/2006/relationships/hyperlink" Target="https://t.me/TSela_V" TargetMode="External"/><Relationship Id="rId92" Type="http://schemas.openxmlformats.org/officeDocument/2006/relationships/hyperlink" Target="https://t.me/filatovanastasia" TargetMode="External"/><Relationship Id="rId15" Type="http://schemas.openxmlformats.org/officeDocument/2006/relationships/hyperlink" Target="https://t.me/AlekseyDG" TargetMode="External"/><Relationship Id="rId110" Type="http://schemas.openxmlformats.org/officeDocument/2006/relationships/hyperlink" Target="https://t.me/OldSchoolla" TargetMode="External"/><Relationship Id="rId14" Type="http://schemas.openxmlformats.org/officeDocument/2006/relationships/hyperlink" Target="https://t.me/svetagrinn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Relationship Id="rId111" Type="http://schemas.openxmlformats.org/officeDocument/2006/relationships/drawing" Target="../drawings/drawing1.xm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86" Type="http://schemas.openxmlformats.org/officeDocument/2006/relationships/hyperlink" Target="https://t.me/Pominov29" TargetMode="External"/><Relationship Id="rId85" Type="http://schemas.openxmlformats.org/officeDocument/2006/relationships/hyperlink" Target="https://t.me/etelindaaa" TargetMode="External"/><Relationship Id="rId88" Type="http://schemas.openxmlformats.org/officeDocument/2006/relationships/hyperlink" Target="https://t.me/NecrisPhayder" TargetMode="External"/><Relationship Id="rId87" Type="http://schemas.openxmlformats.org/officeDocument/2006/relationships/hyperlink" Target="https://t.me/letun15" TargetMode="External"/><Relationship Id="rId89" Type="http://schemas.openxmlformats.org/officeDocument/2006/relationships/hyperlink" Target="https://t.me/YaMusenka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75" Type="http://schemas.openxmlformats.org/officeDocument/2006/relationships/hyperlink" Target="http://t.me/IgorFilippov_02" TargetMode="External"/><Relationship Id="rId74" Type="http://schemas.openxmlformats.org/officeDocument/2006/relationships/hyperlink" Target="http://t.me/hicka2G" TargetMode="External"/><Relationship Id="rId77" Type="http://schemas.openxmlformats.org/officeDocument/2006/relationships/hyperlink" Target="https://t.me/soulfinfer" TargetMode="External"/><Relationship Id="rId76" Type="http://schemas.openxmlformats.org/officeDocument/2006/relationships/hyperlink" Target="https://t.me/@YurVol71" TargetMode="External"/><Relationship Id="rId79" Type="http://schemas.openxmlformats.org/officeDocument/2006/relationships/hyperlink" Target="https://t.me/zanozkin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66" Type="http://schemas.openxmlformats.org/officeDocument/2006/relationships/hyperlink" Target="https://t.me/Holmovs" TargetMode="External"/><Relationship Id="rId65" Type="http://schemas.openxmlformats.org/officeDocument/2006/relationships/hyperlink" Target="https://t.me/mr_kko" TargetMode="External"/><Relationship Id="rId68" Type="http://schemas.openxmlformats.org/officeDocument/2006/relationships/hyperlink" Target="https://t.me/dima777939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69" Type="http://schemas.openxmlformats.org/officeDocument/2006/relationships/hyperlink" Target="https://t.me/AnnaShhhmelev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55" Type="http://schemas.openxmlformats.org/officeDocument/2006/relationships/hyperlink" Target="https://t.me/Dobrolet4" TargetMode="External"/><Relationship Id="rId54" Type="http://schemas.openxmlformats.org/officeDocument/2006/relationships/hyperlink" Target="https://t.me/rickdanil" TargetMode="External"/><Relationship Id="rId57" Type="http://schemas.openxmlformats.org/officeDocument/2006/relationships/hyperlink" Target="https://t.me/maxrazrabotUnity1994" TargetMode="External"/><Relationship Id="rId56" Type="http://schemas.openxmlformats.org/officeDocument/2006/relationships/hyperlink" Target="https://t.me/sizmakhom" TargetMode="External"/><Relationship Id="rId59" Type="http://schemas.openxmlformats.org/officeDocument/2006/relationships/hyperlink" Target="https://t.me/tlguid" TargetMode="External"/><Relationship Id="rId58" Type="http://schemas.openxmlformats.org/officeDocument/2006/relationships/hyperlink" Target="https://t.me/vokrats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177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167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148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168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40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27</v>
      </c>
      <c r="K14" s="13" t="s">
        <v>27</v>
      </c>
      <c r="L14" s="13" t="s">
        <v>27</v>
      </c>
      <c r="M14" s="13" t="s">
        <v>27</v>
      </c>
      <c r="N14" s="13" t="s">
        <v>29</v>
      </c>
      <c r="O14" s="13" t="s">
        <v>31</v>
      </c>
      <c r="P14" s="13" t="s">
        <v>29</v>
      </c>
      <c r="Q14" s="13" t="s">
        <v>30</v>
      </c>
      <c r="R14" s="13" t="s">
        <v>29</v>
      </c>
      <c r="S14" s="13" t="s">
        <v>31</v>
      </c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27</v>
      </c>
      <c r="K26" s="13" t="s">
        <v>27</v>
      </c>
      <c r="L26" s="13" t="s">
        <v>27</v>
      </c>
      <c r="M26" s="13" t="s">
        <v>27</v>
      </c>
      <c r="N26" s="13" t="s">
        <v>29</v>
      </c>
      <c r="O26" s="13" t="s">
        <v>31</v>
      </c>
      <c r="P26" s="13" t="s">
        <v>40</v>
      </c>
      <c r="Q26" s="13" t="s">
        <v>32</v>
      </c>
      <c r="R26" s="13" t="s">
        <v>40</v>
      </c>
      <c r="S26" s="13" t="s">
        <v>31</v>
      </c>
      <c r="T26" s="13" t="s">
        <v>40</v>
      </c>
      <c r="U26" s="13" t="s">
        <v>32</v>
      </c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21" t="s">
        <v>40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 t="s">
        <v>31</v>
      </c>
      <c r="Q33" s="13" t="s">
        <v>32</v>
      </c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27</v>
      </c>
      <c r="L34" s="13" t="s">
        <v>27</v>
      </c>
      <c r="M34" s="13" t="s">
        <v>48</v>
      </c>
      <c r="N34" s="13" t="s">
        <v>29</v>
      </c>
      <c r="O34" s="13" t="s">
        <v>31</v>
      </c>
      <c r="P34" s="13" t="s">
        <v>40</v>
      </c>
      <c r="Q34" s="13" t="s">
        <v>30</v>
      </c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40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27</v>
      </c>
      <c r="L50" s="13" t="s">
        <v>27</v>
      </c>
      <c r="M50" s="13" t="s">
        <v>28</v>
      </c>
      <c r="N50" s="25" t="s">
        <v>33</v>
      </c>
      <c r="O50" s="25" t="s">
        <v>33</v>
      </c>
      <c r="P50" s="13" t="s">
        <v>31</v>
      </c>
      <c r="Q50" s="13" t="s">
        <v>32</v>
      </c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27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 t="s">
        <v>31</v>
      </c>
      <c r="U51" s="13" t="s">
        <v>32</v>
      </c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40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27</v>
      </c>
      <c r="K71" s="13" t="s">
        <v>27</v>
      </c>
      <c r="L71" s="13" t="s">
        <v>27</v>
      </c>
      <c r="M71" s="13" t="s">
        <v>27</v>
      </c>
      <c r="N71" s="13" t="s">
        <v>31</v>
      </c>
      <c r="O71" s="13" t="s">
        <v>30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27</v>
      </c>
      <c r="K72" s="13" t="s">
        <v>48</v>
      </c>
      <c r="L72" s="13" t="s">
        <v>27</v>
      </c>
      <c r="M72" s="13" t="s">
        <v>48</v>
      </c>
      <c r="N72" s="13" t="s">
        <v>40</v>
      </c>
      <c r="O72" s="13" t="s">
        <v>32</v>
      </c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21" t="s">
        <v>40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27</v>
      </c>
      <c r="K89" s="13" t="s">
        <v>28</v>
      </c>
      <c r="L89" s="13" t="s">
        <v>28</v>
      </c>
      <c r="M89" s="13" t="s">
        <v>27</v>
      </c>
      <c r="N89" s="13" t="s">
        <v>31</v>
      </c>
      <c r="O89" s="13" t="s">
        <v>32</v>
      </c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26" t="s">
        <v>27</v>
      </c>
      <c r="L99" s="13" t="s">
        <v>27</v>
      </c>
      <c r="M99" s="13" t="s">
        <v>27</v>
      </c>
      <c r="N99" s="13" t="s">
        <v>29</v>
      </c>
      <c r="O99" s="13" t="s">
        <v>30</v>
      </c>
      <c r="P99" s="13" t="s">
        <v>40</v>
      </c>
      <c r="Q99" s="13" t="s">
        <v>30</v>
      </c>
      <c r="R99" s="13" t="s">
        <v>29</v>
      </c>
      <c r="S99" s="13" t="s">
        <v>30</v>
      </c>
      <c r="T99" s="13" t="s">
        <v>29</v>
      </c>
      <c r="U99" s="13" t="s">
        <v>30</v>
      </c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27</v>
      </c>
      <c r="K105" s="13" t="s">
        <v>27</v>
      </c>
      <c r="L105" s="13" t="s">
        <v>27</v>
      </c>
      <c r="M105" s="26" t="s">
        <v>27</v>
      </c>
      <c r="N105" s="13" t="s">
        <v>29</v>
      </c>
      <c r="O105" s="13" t="s">
        <v>31</v>
      </c>
      <c r="P105" s="13" t="s">
        <v>29</v>
      </c>
      <c r="Q105" s="13" t="s">
        <v>31</v>
      </c>
      <c r="R105" s="13" t="s">
        <v>29</v>
      </c>
      <c r="S105" s="13" t="s">
        <v>31</v>
      </c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21" t="s">
        <v>40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21" t="s">
        <v>40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27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 t="s">
        <v>40</v>
      </c>
      <c r="U131" s="13" t="s">
        <v>31</v>
      </c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27</v>
      </c>
      <c r="K142" s="13" t="s">
        <v>27</v>
      </c>
      <c r="L142" s="13" t="s">
        <v>27</v>
      </c>
      <c r="M142" s="13" t="s">
        <v>27</v>
      </c>
      <c r="N142" s="13" t="s">
        <v>31</v>
      </c>
      <c r="O142" s="13" t="s">
        <v>30</v>
      </c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27</v>
      </c>
      <c r="K146" s="13" t="s">
        <v>27</v>
      </c>
      <c r="L146" s="13" t="s">
        <v>27</v>
      </c>
      <c r="M146" s="13" t="s">
        <v>27</v>
      </c>
      <c r="N146" s="13" t="s">
        <v>29</v>
      </c>
      <c r="O146" s="13" t="s">
        <v>31</v>
      </c>
      <c r="P146" s="13" t="s">
        <v>29</v>
      </c>
      <c r="Q146" s="13" t="s">
        <v>30</v>
      </c>
      <c r="R146" s="13" t="s">
        <v>29</v>
      </c>
      <c r="S146" s="13" t="s">
        <v>30</v>
      </c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27</v>
      </c>
      <c r="K150" s="13" t="s">
        <v>27</v>
      </c>
      <c r="L150" s="13" t="s">
        <v>27</v>
      </c>
      <c r="M150" s="13" t="s">
        <v>27</v>
      </c>
      <c r="N150" s="13" t="s">
        <v>40</v>
      </c>
      <c r="O150" s="13" t="s">
        <v>31</v>
      </c>
      <c r="P150" s="13" t="s">
        <v>40</v>
      </c>
      <c r="Q150" s="13" t="s">
        <v>30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21" t="s">
        <v>30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26" t="s">
        <v>27</v>
      </c>
      <c r="L152" s="13" t="s">
        <v>27</v>
      </c>
      <c r="M152" s="13" t="s">
        <v>27</v>
      </c>
      <c r="N152" s="13"/>
      <c r="O152" s="13"/>
      <c r="P152" s="13" t="s">
        <v>40</v>
      </c>
      <c r="Q152" s="13" t="s">
        <v>30</v>
      </c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27</v>
      </c>
      <c r="K176" s="13" t="s">
        <v>27</v>
      </c>
      <c r="L176" s="13" t="s">
        <v>27</v>
      </c>
      <c r="M176" s="13" t="s">
        <v>27</v>
      </c>
      <c r="N176" s="13" t="s">
        <v>40</v>
      </c>
      <c r="O176" s="13" t="s">
        <v>31</v>
      </c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27</v>
      </c>
      <c r="K179" s="13" t="s">
        <v>27</v>
      </c>
      <c r="L179" s="13" t="s">
        <v>39</v>
      </c>
      <c r="M179" s="13" t="s">
        <v>27</v>
      </c>
      <c r="N179" s="13" t="s">
        <v>31</v>
      </c>
      <c r="O179" s="13" t="s">
        <v>30</v>
      </c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27</v>
      </c>
      <c r="K182" s="13" t="s">
        <v>27</v>
      </c>
      <c r="L182" s="13" t="s">
        <v>27</v>
      </c>
      <c r="M182" s="13" t="s">
        <v>27</v>
      </c>
      <c r="N182" s="13" t="s">
        <v>31</v>
      </c>
      <c r="O182" s="13" t="s">
        <v>32</v>
      </c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27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 t="s">
        <v>29</v>
      </c>
      <c r="U195" s="13" t="s">
        <v>31</v>
      </c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26" t="s">
        <v>27</v>
      </c>
      <c r="M208" s="26" t="s">
        <v>27</v>
      </c>
      <c r="N208" s="13"/>
      <c r="O208" s="13"/>
      <c r="P208" s="13" t="s">
        <v>29</v>
      </c>
      <c r="Q208" s="13" t="s">
        <v>30</v>
      </c>
      <c r="R208" s="13" t="s">
        <v>29</v>
      </c>
      <c r="S208" s="13" t="s">
        <v>31</v>
      </c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2</v>
      </c>
      <c r="J210" s="13" t="s">
        <v>27</v>
      </c>
      <c r="K210" s="13" t="s">
        <v>27</v>
      </c>
      <c r="L210" s="13" t="s">
        <v>48</v>
      </c>
      <c r="M210" s="13" t="s">
        <v>48</v>
      </c>
      <c r="N210" s="13" t="s">
        <v>29</v>
      </c>
      <c r="O210" s="13" t="s">
        <v>31</v>
      </c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21" t="s">
        <v>30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26" t="s">
        <v>27</v>
      </c>
      <c r="M218" s="26" t="s">
        <v>27</v>
      </c>
      <c r="N218" s="13"/>
      <c r="O218" s="13"/>
      <c r="P218" s="13" t="s">
        <v>33</v>
      </c>
      <c r="Q218" s="13" t="s">
        <v>33</v>
      </c>
      <c r="R218" s="13" t="s">
        <v>29</v>
      </c>
      <c r="S218" s="13" t="s">
        <v>31</v>
      </c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3</v>
      </c>
      <c r="J219" s="13" t="s">
        <v>27</v>
      </c>
      <c r="K219" s="13" t="s">
        <v>27</v>
      </c>
      <c r="L219" s="13" t="s">
        <v>39</v>
      </c>
      <c r="M219" s="26" t="s">
        <v>27</v>
      </c>
      <c r="N219" s="13" t="s">
        <v>31</v>
      </c>
      <c r="O219" s="13" t="s">
        <v>32</v>
      </c>
      <c r="P219" s="13" t="s">
        <v>40</v>
      </c>
      <c r="Q219" s="13" t="s">
        <v>30</v>
      </c>
      <c r="R219" s="13"/>
      <c r="S219" s="13"/>
      <c r="T219" s="13" t="s">
        <v>29</v>
      </c>
      <c r="U219" s="13" t="s">
        <v>31</v>
      </c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4</v>
      </c>
      <c r="J228" s="13" t="s">
        <v>27</v>
      </c>
      <c r="K228" s="13" t="s">
        <v>27</v>
      </c>
      <c r="L228" s="13" t="s">
        <v>27</v>
      </c>
      <c r="M228" s="13" t="s">
        <v>27</v>
      </c>
      <c r="N228" s="13" t="s">
        <v>29</v>
      </c>
      <c r="O228" s="13" t="s">
        <v>31</v>
      </c>
      <c r="P228" s="13" t="s">
        <v>40</v>
      </c>
      <c r="Q228" s="13" t="s">
        <v>31</v>
      </c>
      <c r="R228" s="13" t="s">
        <v>29</v>
      </c>
      <c r="S228" s="13" t="s">
        <v>31</v>
      </c>
      <c r="T228" s="13" t="s">
        <v>29</v>
      </c>
      <c r="U228" s="13" t="s">
        <v>31</v>
      </c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31</v>
      </c>
      <c r="O232" s="13" t="s">
        <v>32</v>
      </c>
      <c r="P232" s="13" t="s">
        <v>31</v>
      </c>
      <c r="Q232" s="13" t="s">
        <v>30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40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2</v>
      </c>
      <c r="J239" s="13" t="s">
        <v>39</v>
      </c>
      <c r="K239" s="13" t="s">
        <v>27</v>
      </c>
      <c r="L239" s="13" t="s">
        <v>48</v>
      </c>
      <c r="M239" s="26" t="s">
        <v>27</v>
      </c>
      <c r="N239" s="13"/>
      <c r="O239" s="13"/>
      <c r="P239" s="13" t="s">
        <v>31</v>
      </c>
      <c r="Q239" s="13" t="s">
        <v>32</v>
      </c>
      <c r="R239" s="13"/>
      <c r="S239" s="13"/>
      <c r="T239" s="13" t="s">
        <v>31</v>
      </c>
      <c r="U239" s="13" t="s">
        <v>32</v>
      </c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2</v>
      </c>
      <c r="J240" s="13" t="s">
        <v>27</v>
      </c>
      <c r="K240" s="13" t="s">
        <v>27</v>
      </c>
      <c r="L240" s="13" t="s">
        <v>39</v>
      </c>
      <c r="M240" s="13" t="s">
        <v>39</v>
      </c>
      <c r="N240" s="13" t="s">
        <v>29</v>
      </c>
      <c r="O240" s="13" t="s">
        <v>31</v>
      </c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40</v>
      </c>
      <c r="U241" s="13" t="s">
        <v>31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3</v>
      </c>
      <c r="J242" s="21" t="s">
        <v>27</v>
      </c>
      <c r="K242" s="13" t="s">
        <v>27</v>
      </c>
      <c r="L242" s="13" t="s">
        <v>48</v>
      </c>
      <c r="M242" s="21" t="s">
        <v>27</v>
      </c>
      <c r="N242" s="13" t="s">
        <v>29</v>
      </c>
      <c r="O242" s="13" t="s">
        <v>31</v>
      </c>
      <c r="P242" s="13" t="s">
        <v>31</v>
      </c>
      <c r="Q242" s="13" t="s">
        <v>32</v>
      </c>
      <c r="R242" s="13"/>
      <c r="S242" s="13"/>
      <c r="T242" s="13" t="s">
        <v>40</v>
      </c>
      <c r="U242" s="13" t="s">
        <v>32</v>
      </c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  <row r="244">
      <c r="A244" s="13" t="s">
        <v>742</v>
      </c>
      <c r="B244" s="20" t="s">
        <v>743</v>
      </c>
      <c r="C244" s="14">
        <v>8.9091011335E10</v>
      </c>
      <c r="D244" s="13" t="s">
        <v>23</v>
      </c>
      <c r="E244" s="13" t="s">
        <v>494</v>
      </c>
      <c r="F244" s="13" t="s">
        <v>335</v>
      </c>
      <c r="G244" s="13" t="s">
        <v>26</v>
      </c>
      <c r="H244" s="14">
        <v>40.0</v>
      </c>
      <c r="I244" s="13"/>
      <c r="J244" s="13" t="s">
        <v>48</v>
      </c>
      <c r="K244" s="13" t="s">
        <v>27</v>
      </c>
      <c r="L244" s="13" t="s">
        <v>39</v>
      </c>
      <c r="M244" s="13" t="s">
        <v>48</v>
      </c>
      <c r="N244" s="13"/>
      <c r="O244" s="13"/>
      <c r="P244" s="13" t="s">
        <v>31</v>
      </c>
      <c r="Q244" s="13" t="s">
        <v>32</v>
      </c>
      <c r="R244" s="13"/>
      <c r="S244" s="13"/>
      <c r="T244" s="13"/>
      <c r="U244" s="13"/>
    </row>
    <row r="245">
      <c r="A245" s="13" t="s">
        <v>744</v>
      </c>
      <c r="B245" s="13" t="s">
        <v>745</v>
      </c>
      <c r="C245" s="14">
        <v>8.9276561018E10</v>
      </c>
      <c r="D245" s="13" t="s">
        <v>23</v>
      </c>
      <c r="E245" s="13" t="s">
        <v>157</v>
      </c>
      <c r="F245" s="13" t="s">
        <v>202</v>
      </c>
      <c r="G245" s="13" t="s">
        <v>26</v>
      </c>
      <c r="H245" s="14">
        <v>39.0</v>
      </c>
      <c r="I245" s="13"/>
      <c r="J245" s="13" t="s">
        <v>48</v>
      </c>
      <c r="K245" s="13" t="s">
        <v>27</v>
      </c>
      <c r="L245" s="13" t="s">
        <v>48</v>
      </c>
      <c r="M245" s="13" t="s">
        <v>27</v>
      </c>
      <c r="N245" s="13"/>
      <c r="O245" s="13"/>
      <c r="P245" s="13" t="s">
        <v>40</v>
      </c>
      <c r="Q245" s="13" t="s">
        <v>32</v>
      </c>
      <c r="R245" s="13"/>
      <c r="S245" s="13"/>
      <c r="T245" s="13" t="s">
        <v>29</v>
      </c>
      <c r="U245" s="13" t="s">
        <v>31</v>
      </c>
    </row>
    <row r="246">
      <c r="A246" s="13" t="s">
        <v>746</v>
      </c>
      <c r="B246" s="20" t="s">
        <v>747</v>
      </c>
      <c r="C246" s="14">
        <v>8.9896364327E10</v>
      </c>
      <c r="D246" s="13" t="s">
        <v>23</v>
      </c>
      <c r="E246" s="13" t="s">
        <v>381</v>
      </c>
      <c r="F246" s="13" t="s">
        <v>381</v>
      </c>
      <c r="G246" s="13" t="s">
        <v>38</v>
      </c>
      <c r="H246" s="14">
        <v>29.0</v>
      </c>
      <c r="I246" s="13"/>
      <c r="J246" s="13" t="s">
        <v>39</v>
      </c>
      <c r="K246" s="13" t="s">
        <v>27</v>
      </c>
      <c r="L246" s="26" t="s">
        <v>27</v>
      </c>
      <c r="M246" s="13" t="s">
        <v>48</v>
      </c>
      <c r="N246" s="13"/>
      <c r="O246" s="13"/>
      <c r="P246" s="13" t="s">
        <v>31</v>
      </c>
      <c r="Q246" s="13" t="s">
        <v>32</v>
      </c>
      <c r="R246" s="13" t="s">
        <v>31</v>
      </c>
      <c r="S246" s="13" t="s">
        <v>32</v>
      </c>
      <c r="T246" s="13"/>
      <c r="U246" s="13"/>
    </row>
    <row r="247">
      <c r="A247" s="13" t="s">
        <v>748</v>
      </c>
      <c r="B247" s="13" t="s">
        <v>749</v>
      </c>
      <c r="C247" s="14">
        <v>8.9045883559E10</v>
      </c>
      <c r="D247" s="13" t="s">
        <v>23</v>
      </c>
      <c r="E247" s="13" t="s">
        <v>610</v>
      </c>
      <c r="F247" s="13" t="s">
        <v>610</v>
      </c>
      <c r="G247" s="13" t="s">
        <v>26</v>
      </c>
      <c r="H247" s="14">
        <v>39.0</v>
      </c>
      <c r="I247" s="13"/>
      <c r="J247" s="13" t="s">
        <v>39</v>
      </c>
      <c r="K247" s="13" t="s">
        <v>27</v>
      </c>
      <c r="L247" s="13" t="s">
        <v>27</v>
      </c>
      <c r="M247" s="13" t="s">
        <v>27</v>
      </c>
      <c r="N247" s="13"/>
      <c r="O247" s="13"/>
      <c r="P247" s="13" t="s">
        <v>40</v>
      </c>
      <c r="Q247" s="13" t="s">
        <v>32</v>
      </c>
      <c r="R247" s="13" t="s">
        <v>29</v>
      </c>
      <c r="S247" s="13" t="s">
        <v>30</v>
      </c>
      <c r="T247" s="13" t="s">
        <v>29</v>
      </c>
      <c r="U247" s="13" t="s">
        <v>30</v>
      </c>
    </row>
    <row r="248">
      <c r="A248" s="13" t="s">
        <v>750</v>
      </c>
      <c r="B248" s="13" t="s">
        <v>751</v>
      </c>
      <c r="C248" s="14">
        <v>8.9829921377E10</v>
      </c>
      <c r="D248" s="13" t="s">
        <v>23</v>
      </c>
      <c r="E248" s="13" t="s">
        <v>752</v>
      </c>
      <c r="F248" s="13" t="s">
        <v>625</v>
      </c>
      <c r="G248" s="13" t="s">
        <v>26</v>
      </c>
      <c r="H248" s="14">
        <v>38.0</v>
      </c>
      <c r="I248" s="13"/>
      <c r="J248" s="26" t="s">
        <v>27</v>
      </c>
      <c r="K248" s="13" t="s">
        <v>48</v>
      </c>
      <c r="L248" s="13" t="s">
        <v>39</v>
      </c>
      <c r="M248" s="13" t="s">
        <v>48</v>
      </c>
      <c r="N248" s="13" t="s">
        <v>31</v>
      </c>
      <c r="O248" s="13" t="s">
        <v>32</v>
      </c>
      <c r="P248" s="25" t="s">
        <v>33</v>
      </c>
      <c r="Q248" s="25" t="s">
        <v>33</v>
      </c>
      <c r="R248" s="13"/>
      <c r="S248" s="13"/>
      <c r="T248" s="25" t="s">
        <v>33</v>
      </c>
      <c r="U248" s="25" t="s">
        <v>33</v>
      </c>
    </row>
    <row r="249">
      <c r="A249" s="13" t="s">
        <v>753</v>
      </c>
      <c r="B249" s="20" t="s">
        <v>754</v>
      </c>
      <c r="C249" s="14">
        <v>8.9506531057E10</v>
      </c>
      <c r="D249" s="13" t="s">
        <v>23</v>
      </c>
      <c r="E249" s="13" t="s">
        <v>128</v>
      </c>
      <c r="F249" s="13" t="s">
        <v>129</v>
      </c>
      <c r="G249" s="13" t="s">
        <v>26</v>
      </c>
      <c r="H249" s="14">
        <v>41.0</v>
      </c>
      <c r="I249" s="14">
        <f t="shared" ref="I249:I251" si="11">COUNTIF(J249:M249, "Да")</f>
        <v>1</v>
      </c>
      <c r="J249" s="13" t="s">
        <v>27</v>
      </c>
      <c r="K249" s="13" t="s">
        <v>28</v>
      </c>
      <c r="L249" s="13" t="s">
        <v>39</v>
      </c>
      <c r="M249" s="13" t="s">
        <v>39</v>
      </c>
      <c r="N249" s="13" t="s">
        <v>29</v>
      </c>
      <c r="O249" s="13" t="s">
        <v>31</v>
      </c>
      <c r="P249" s="25" t="s">
        <v>33</v>
      </c>
      <c r="Q249" s="25" t="s">
        <v>33</v>
      </c>
      <c r="R249" s="13"/>
      <c r="S249" s="13"/>
      <c r="T249" s="13"/>
      <c r="U249" s="13"/>
    </row>
    <row r="250">
      <c r="A250" s="13" t="s">
        <v>755</v>
      </c>
      <c r="B250" s="13" t="s">
        <v>756</v>
      </c>
      <c r="C250" s="14">
        <v>8.9244492556E10</v>
      </c>
      <c r="D250" s="13" t="s">
        <v>52</v>
      </c>
      <c r="E250" s="13" t="s">
        <v>757</v>
      </c>
      <c r="F250" s="13" t="s">
        <v>758</v>
      </c>
      <c r="G250" s="13" t="s">
        <v>26</v>
      </c>
      <c r="H250" s="14">
        <v>36.0</v>
      </c>
      <c r="I250" s="14">
        <f t="shared" si="11"/>
        <v>2</v>
      </c>
      <c r="J250" s="13" t="s">
        <v>27</v>
      </c>
      <c r="K250" s="13" t="s">
        <v>48</v>
      </c>
      <c r="L250" s="13" t="s">
        <v>48</v>
      </c>
      <c r="M250" s="13" t="s">
        <v>27</v>
      </c>
      <c r="N250" s="13" t="s">
        <v>29</v>
      </c>
      <c r="O250" s="13" t="s">
        <v>31</v>
      </c>
      <c r="P250" s="25" t="s">
        <v>33</v>
      </c>
      <c r="Q250" s="25" t="s">
        <v>33</v>
      </c>
      <c r="R250" s="25" t="s">
        <v>33</v>
      </c>
      <c r="S250" s="25" t="s">
        <v>33</v>
      </c>
      <c r="T250" s="13" t="s">
        <v>40</v>
      </c>
      <c r="U250" s="13" t="s">
        <v>32</v>
      </c>
      <c r="V250" s="13"/>
      <c r="W250" s="13"/>
      <c r="X250" s="13"/>
    </row>
    <row r="251">
      <c r="A251" s="13" t="s">
        <v>759</v>
      </c>
      <c r="B251" s="20" t="s">
        <v>760</v>
      </c>
      <c r="C251" s="14">
        <v>8.9371450799E10</v>
      </c>
      <c r="D251" s="13" t="s">
        <v>52</v>
      </c>
      <c r="E251" s="13" t="s">
        <v>199</v>
      </c>
      <c r="F251" s="13" t="s">
        <v>761</v>
      </c>
      <c r="G251" s="13" t="s">
        <v>26</v>
      </c>
      <c r="H251" s="14">
        <v>21.0</v>
      </c>
      <c r="I251" s="14">
        <f t="shared" si="11"/>
        <v>2</v>
      </c>
      <c r="J251" s="13" t="s">
        <v>27</v>
      </c>
      <c r="K251" s="13" t="s">
        <v>39</v>
      </c>
      <c r="L251" s="13" t="s">
        <v>27</v>
      </c>
      <c r="M251" s="13" t="s">
        <v>48</v>
      </c>
      <c r="N251" s="13" t="s">
        <v>29</v>
      </c>
      <c r="O251" s="13" t="s">
        <v>31</v>
      </c>
      <c r="P251" s="13"/>
      <c r="Q251" s="13"/>
      <c r="R251" s="13" t="s">
        <v>29</v>
      </c>
      <c r="S251" s="13" t="s">
        <v>30</v>
      </c>
      <c r="T251" s="25" t="s">
        <v>33</v>
      </c>
      <c r="U251" s="25" t="s">
        <v>33</v>
      </c>
      <c r="V251" s="13"/>
      <c r="W251" s="13"/>
      <c r="X251" s="13"/>
    </row>
    <row r="252">
      <c r="A252" s="13" t="s">
        <v>762</v>
      </c>
      <c r="B252" s="13" t="s">
        <v>763</v>
      </c>
      <c r="C252" s="14">
        <v>8.9604105489E10</v>
      </c>
      <c r="D252" s="13" t="s">
        <v>23</v>
      </c>
      <c r="E252" s="13" t="s">
        <v>77</v>
      </c>
      <c r="F252" s="13" t="s">
        <v>77</v>
      </c>
      <c r="G252" s="13" t="s">
        <v>26</v>
      </c>
      <c r="H252" s="14">
        <v>23.0</v>
      </c>
      <c r="I252" s="13"/>
      <c r="J252" s="13" t="s">
        <v>27</v>
      </c>
      <c r="K252" s="13" t="s">
        <v>27</v>
      </c>
      <c r="L252" s="13" t="s">
        <v>27</v>
      </c>
      <c r="M252" s="13" t="s">
        <v>27</v>
      </c>
      <c r="N252" s="13" t="s">
        <v>29</v>
      </c>
      <c r="O252" s="13" t="s">
        <v>30</v>
      </c>
      <c r="P252" s="13"/>
      <c r="Q252" s="13"/>
      <c r="R252" s="13" t="s">
        <v>40</v>
      </c>
      <c r="S252" s="13" t="s">
        <v>32</v>
      </c>
      <c r="T252" s="13" t="s">
        <v>30</v>
      </c>
      <c r="U252" s="13"/>
      <c r="V252" s="13"/>
      <c r="W252" s="13"/>
      <c r="X252" s="13"/>
    </row>
    <row r="253">
      <c r="A253" s="13" t="s">
        <v>764</v>
      </c>
      <c r="B253" s="20" t="s">
        <v>765</v>
      </c>
      <c r="C253" s="14">
        <v>8.923350784E10</v>
      </c>
      <c r="D253" s="13" t="s">
        <v>52</v>
      </c>
      <c r="E253" s="13" t="s">
        <v>433</v>
      </c>
      <c r="F253" s="13" t="s">
        <v>766</v>
      </c>
      <c r="G253" s="13" t="s">
        <v>26</v>
      </c>
      <c r="H253" s="14">
        <v>38.0</v>
      </c>
      <c r="I253" s="13"/>
      <c r="J253" s="13" t="s">
        <v>39</v>
      </c>
      <c r="K253" s="13" t="s">
        <v>48</v>
      </c>
      <c r="L253" s="13" t="s">
        <v>27</v>
      </c>
      <c r="M253" s="13" t="s">
        <v>27</v>
      </c>
      <c r="N253" s="25" t="s">
        <v>33</v>
      </c>
      <c r="O253" s="25" t="s">
        <v>33</v>
      </c>
      <c r="P253" s="25" t="s">
        <v>33</v>
      </c>
      <c r="Q253" s="25" t="s">
        <v>33</v>
      </c>
      <c r="R253" s="13" t="s">
        <v>31</v>
      </c>
      <c r="S253" s="13" t="s">
        <v>32</v>
      </c>
      <c r="T253" s="25" t="s">
        <v>33</v>
      </c>
      <c r="U253" s="25" t="s">
        <v>33</v>
      </c>
      <c r="V253" s="13"/>
      <c r="W253" s="13"/>
      <c r="X253" s="13"/>
    </row>
    <row r="254">
      <c r="A254" s="13" t="s">
        <v>767</v>
      </c>
      <c r="B254" s="13" t="s">
        <v>768</v>
      </c>
      <c r="C254" s="14">
        <v>8.9824751286E10</v>
      </c>
      <c r="D254" s="13" t="s">
        <v>23</v>
      </c>
      <c r="E254" s="13" t="s">
        <v>494</v>
      </c>
      <c r="F254" s="13" t="s">
        <v>769</v>
      </c>
      <c r="G254" s="13" t="s">
        <v>38</v>
      </c>
      <c r="H254" s="14">
        <v>25.0</v>
      </c>
      <c r="I254" s="14">
        <f>COUNTIF(J254:M254, "Да")</f>
        <v>1</v>
      </c>
      <c r="J254" s="13" t="s">
        <v>39</v>
      </c>
      <c r="K254" s="13" t="s">
        <v>39</v>
      </c>
      <c r="L254" s="13" t="s">
        <v>39</v>
      </c>
      <c r="M254" s="13" t="s">
        <v>27</v>
      </c>
      <c r="N254" s="13"/>
      <c r="O254" s="13"/>
      <c r="P254" s="14"/>
      <c r="Q254" s="13"/>
      <c r="R254" s="13"/>
      <c r="S254" s="13"/>
      <c r="T254" s="13" t="s">
        <v>40</v>
      </c>
      <c r="U254" s="13" t="s">
        <v>32</v>
      </c>
      <c r="V254" s="13"/>
      <c r="W254" s="13"/>
      <c r="X254" s="13"/>
    </row>
    <row r="255">
      <c r="A255" s="13" t="s">
        <v>770</v>
      </c>
      <c r="B255" s="13" t="s">
        <v>771</v>
      </c>
      <c r="C255" s="14">
        <v>8.9119684162E10</v>
      </c>
      <c r="D255" s="13" t="s">
        <v>23</v>
      </c>
      <c r="E255" s="13" t="s">
        <v>161</v>
      </c>
      <c r="F255" s="13" t="s">
        <v>161</v>
      </c>
      <c r="G255" s="13" t="s">
        <v>26</v>
      </c>
      <c r="H255" s="14">
        <v>23.0</v>
      </c>
      <c r="I255" s="13"/>
      <c r="J255" s="13" t="s">
        <v>27</v>
      </c>
      <c r="K255" s="13" t="s">
        <v>48</v>
      </c>
      <c r="L255" s="13" t="s">
        <v>27</v>
      </c>
      <c r="M255" s="13" t="s">
        <v>48</v>
      </c>
      <c r="N255" s="13" t="s">
        <v>40</v>
      </c>
      <c r="O255" s="13" t="s">
        <v>32</v>
      </c>
      <c r="P255" s="25" t="s">
        <v>33</v>
      </c>
      <c r="Q255" s="25" t="s">
        <v>33</v>
      </c>
      <c r="R255" s="13" t="s">
        <v>40</v>
      </c>
      <c r="S255" s="13" t="s">
        <v>32</v>
      </c>
      <c r="T255" s="25" t="s">
        <v>33</v>
      </c>
      <c r="U255" s="25" t="s">
        <v>33</v>
      </c>
      <c r="V255" s="13"/>
      <c r="W255" s="13"/>
      <c r="X255" s="13"/>
    </row>
    <row r="256">
      <c r="A256" s="13" t="s">
        <v>772</v>
      </c>
      <c r="B256" s="20" t="s">
        <v>773</v>
      </c>
      <c r="C256" s="14">
        <v>8.9113538497E10</v>
      </c>
      <c r="D256" s="13" t="s">
        <v>23</v>
      </c>
      <c r="E256" s="13" t="s">
        <v>774</v>
      </c>
      <c r="F256" s="13" t="s">
        <v>775</v>
      </c>
      <c r="G256" s="13" t="s">
        <v>26</v>
      </c>
      <c r="H256" s="14">
        <v>26.0</v>
      </c>
      <c r="I256" s="13"/>
      <c r="J256" s="13" t="s">
        <v>27</v>
      </c>
      <c r="K256" s="13" t="s">
        <v>48</v>
      </c>
      <c r="L256" s="13" t="s">
        <v>27</v>
      </c>
      <c r="M256" s="13" t="s">
        <v>48</v>
      </c>
      <c r="N256" s="13" t="s">
        <v>29</v>
      </c>
      <c r="O256" s="13" t="s">
        <v>31</v>
      </c>
      <c r="P256" s="25" t="s">
        <v>33</v>
      </c>
      <c r="Q256" s="25" t="s">
        <v>33</v>
      </c>
      <c r="R256" s="13" t="s">
        <v>29</v>
      </c>
      <c r="S256" s="13" t="s">
        <v>30</v>
      </c>
      <c r="T256" s="25" t="s">
        <v>33</v>
      </c>
      <c r="U256" s="25" t="s">
        <v>33</v>
      </c>
      <c r="V256" s="13"/>
      <c r="W256" s="13"/>
      <c r="X256" s="13"/>
    </row>
    <row r="257">
      <c r="A257" s="13" t="s">
        <v>776</v>
      </c>
      <c r="B257" s="20" t="s">
        <v>777</v>
      </c>
      <c r="C257" s="14">
        <v>8.9911232303E10</v>
      </c>
      <c r="D257" s="13" t="s">
        <v>23</v>
      </c>
      <c r="E257" s="13" t="s">
        <v>77</v>
      </c>
      <c r="F257" s="13" t="s">
        <v>77</v>
      </c>
      <c r="G257" s="13" t="s">
        <v>38</v>
      </c>
      <c r="H257" s="14">
        <v>33.0</v>
      </c>
      <c r="I257" s="13"/>
      <c r="J257" s="13" t="s">
        <v>27</v>
      </c>
      <c r="K257" s="13" t="s">
        <v>39</v>
      </c>
      <c r="L257" s="26" t="s">
        <v>27</v>
      </c>
      <c r="M257" s="13" t="s">
        <v>48</v>
      </c>
      <c r="N257" s="13" t="s">
        <v>29</v>
      </c>
      <c r="O257" s="13" t="s">
        <v>31</v>
      </c>
      <c r="P257" s="13"/>
      <c r="Q257" s="13"/>
      <c r="R257" s="13" t="s">
        <v>40</v>
      </c>
      <c r="S257" s="13" t="s">
        <v>32</v>
      </c>
      <c r="T257" s="25" t="s">
        <v>33</v>
      </c>
      <c r="U257" s="25" t="s">
        <v>33</v>
      </c>
      <c r="V257" s="13"/>
      <c r="W257" s="13"/>
      <c r="X257" s="13"/>
    </row>
    <row r="258">
      <c r="A258" s="13" t="s">
        <v>778</v>
      </c>
      <c r="B258" s="20" t="s">
        <v>779</v>
      </c>
      <c r="C258" s="14">
        <v>8.9655792256E10</v>
      </c>
      <c r="D258" s="13" t="s">
        <v>23</v>
      </c>
      <c r="E258" s="13" t="s">
        <v>494</v>
      </c>
      <c r="F258" s="13" t="s">
        <v>335</v>
      </c>
      <c r="G258" s="13" t="s">
        <v>26</v>
      </c>
      <c r="H258" s="14">
        <v>33.0</v>
      </c>
      <c r="I258" s="13"/>
      <c r="J258" s="13" t="s">
        <v>27</v>
      </c>
      <c r="K258" s="13" t="s">
        <v>27</v>
      </c>
      <c r="L258" s="13" t="s">
        <v>48</v>
      </c>
      <c r="M258" s="13" t="s">
        <v>27</v>
      </c>
      <c r="N258" s="31" t="s">
        <v>40</v>
      </c>
      <c r="O258" s="31" t="s">
        <v>30</v>
      </c>
      <c r="P258" s="31" t="s">
        <v>40</v>
      </c>
      <c r="Q258" s="31" t="s">
        <v>32</v>
      </c>
      <c r="R258" s="13"/>
      <c r="S258" s="13"/>
      <c r="T258" s="31" t="s">
        <v>29</v>
      </c>
      <c r="U258" s="31" t="s">
        <v>30</v>
      </c>
      <c r="V258" s="13"/>
      <c r="W258" s="13"/>
      <c r="X258" s="13"/>
    </row>
    <row r="259">
      <c r="A259" s="13" t="s">
        <v>780</v>
      </c>
      <c r="B259" s="13" t="s">
        <v>781</v>
      </c>
      <c r="C259" s="14">
        <v>8.9205168068E10</v>
      </c>
      <c r="D259" s="13" t="s">
        <v>23</v>
      </c>
      <c r="E259" s="13" t="s">
        <v>782</v>
      </c>
      <c r="F259" s="13" t="s">
        <v>783</v>
      </c>
      <c r="G259" s="13" t="s">
        <v>26</v>
      </c>
      <c r="H259" s="14">
        <v>39.0</v>
      </c>
      <c r="I259" s="14">
        <f>COUNTIF(J259:M259, "Да")</f>
        <v>2</v>
      </c>
      <c r="J259" s="13" t="s">
        <v>39</v>
      </c>
      <c r="K259" s="13" t="s">
        <v>48</v>
      </c>
      <c r="L259" s="13" t="s">
        <v>27</v>
      </c>
      <c r="M259" s="13" t="s">
        <v>27</v>
      </c>
      <c r="N259" s="13"/>
      <c r="O259" s="13"/>
      <c r="P259" s="25" t="s">
        <v>33</v>
      </c>
      <c r="Q259" s="25" t="s">
        <v>33</v>
      </c>
      <c r="R259" s="31" t="s">
        <v>29</v>
      </c>
      <c r="S259" s="31" t="s">
        <v>30</v>
      </c>
      <c r="T259" s="31" t="s">
        <v>40</v>
      </c>
      <c r="U259" s="31" t="s">
        <v>32</v>
      </c>
      <c r="V259" s="13"/>
      <c r="W259" s="13"/>
      <c r="X259" s="13"/>
    </row>
    <row r="260">
      <c r="A260" s="13" t="s">
        <v>784</v>
      </c>
      <c r="B260" s="20" t="s">
        <v>785</v>
      </c>
      <c r="C260" s="14">
        <v>8.9308847061E10</v>
      </c>
      <c r="D260" s="13" t="s">
        <v>52</v>
      </c>
      <c r="E260" s="13" t="s">
        <v>358</v>
      </c>
      <c r="F260" s="13" t="s">
        <v>358</v>
      </c>
      <c r="G260" s="13" t="s">
        <v>26</v>
      </c>
      <c r="H260" s="14">
        <v>28.0</v>
      </c>
      <c r="I260" s="13"/>
      <c r="J260" s="13" t="s">
        <v>27</v>
      </c>
      <c r="K260" s="13" t="s">
        <v>48</v>
      </c>
      <c r="L260" s="13" t="s">
        <v>27</v>
      </c>
      <c r="M260" s="13" t="s">
        <v>48</v>
      </c>
      <c r="N260" s="13" t="s">
        <v>29</v>
      </c>
      <c r="O260" s="13" t="s">
        <v>30</v>
      </c>
      <c r="P260" s="13"/>
      <c r="Q260" s="13"/>
      <c r="R260" s="13" t="s">
        <v>29</v>
      </c>
      <c r="S260" s="13" t="s">
        <v>30</v>
      </c>
      <c r="T260" s="13"/>
      <c r="U260" s="13"/>
      <c r="V260" s="13"/>
    </row>
    <row r="261">
      <c r="A261" s="13" t="s">
        <v>786</v>
      </c>
      <c r="B261" s="13" t="s">
        <v>787</v>
      </c>
      <c r="C261" s="14">
        <v>8.91012106E10</v>
      </c>
      <c r="D261" s="13" t="s">
        <v>52</v>
      </c>
      <c r="E261" s="13" t="s">
        <v>788</v>
      </c>
      <c r="F261" s="13" t="s">
        <v>101</v>
      </c>
      <c r="G261" s="13" t="s">
        <v>38</v>
      </c>
      <c r="H261" s="14">
        <v>38.0</v>
      </c>
      <c r="I261" s="14">
        <f t="shared" ref="I261:I265" si="12">COUNTIF(J261:M261, "Да")</f>
        <v>2</v>
      </c>
      <c r="J261" s="13" t="s">
        <v>27</v>
      </c>
      <c r="K261" s="13" t="s">
        <v>28</v>
      </c>
      <c r="L261" s="13" t="s">
        <v>28</v>
      </c>
      <c r="M261" s="13" t="s">
        <v>27</v>
      </c>
      <c r="N261" s="13" t="s">
        <v>40</v>
      </c>
      <c r="O261" s="13" t="s">
        <v>32</v>
      </c>
      <c r="P261" s="25" t="s">
        <v>33</v>
      </c>
      <c r="Q261" s="25" t="s">
        <v>33</v>
      </c>
      <c r="R261" s="25" t="s">
        <v>33</v>
      </c>
      <c r="S261" s="25" t="s">
        <v>33</v>
      </c>
      <c r="T261" s="13" t="s">
        <v>40</v>
      </c>
      <c r="U261" s="13" t="s">
        <v>32</v>
      </c>
    </row>
    <row r="262">
      <c r="A262" s="13" t="s">
        <v>789</v>
      </c>
      <c r="B262" s="20" t="s">
        <v>790</v>
      </c>
      <c r="C262" s="14">
        <v>8.9038279E10</v>
      </c>
      <c r="D262" s="13" t="s">
        <v>23</v>
      </c>
      <c r="E262" s="13" t="s">
        <v>188</v>
      </c>
      <c r="F262" s="13" t="s">
        <v>791</v>
      </c>
      <c r="G262" s="13" t="s">
        <v>26</v>
      </c>
      <c r="H262" s="14">
        <v>53.0</v>
      </c>
      <c r="I262" s="14">
        <f t="shared" si="12"/>
        <v>2</v>
      </c>
      <c r="J262" s="13" t="s">
        <v>27</v>
      </c>
      <c r="K262" s="13" t="s">
        <v>27</v>
      </c>
      <c r="L262" s="13" t="s">
        <v>28</v>
      </c>
      <c r="M262" s="13" t="s">
        <v>28</v>
      </c>
      <c r="N262" s="13" t="s">
        <v>40</v>
      </c>
      <c r="O262" s="13" t="s">
        <v>32</v>
      </c>
      <c r="P262" s="13" t="s">
        <v>29</v>
      </c>
      <c r="Q262" s="13" t="s">
        <v>30</v>
      </c>
      <c r="R262" s="25" t="s">
        <v>33</v>
      </c>
      <c r="S262" s="25" t="s">
        <v>33</v>
      </c>
      <c r="T262" s="25" t="s">
        <v>33</v>
      </c>
      <c r="U262" s="25" t="s">
        <v>33</v>
      </c>
    </row>
    <row r="263">
      <c r="A263" s="13" t="s">
        <v>792</v>
      </c>
      <c r="B263" s="20" t="s">
        <v>793</v>
      </c>
      <c r="C263" s="14">
        <v>8.9601038602E10</v>
      </c>
      <c r="D263" s="13" t="s">
        <v>23</v>
      </c>
      <c r="E263" s="13" t="s">
        <v>121</v>
      </c>
      <c r="F263" s="13" t="s">
        <v>122</v>
      </c>
      <c r="G263" s="13" t="s">
        <v>26</v>
      </c>
      <c r="H263" s="14">
        <v>34.0</v>
      </c>
      <c r="I263" s="14">
        <f t="shared" si="12"/>
        <v>2</v>
      </c>
      <c r="J263" s="13" t="s">
        <v>27</v>
      </c>
      <c r="K263" s="13" t="s">
        <v>28</v>
      </c>
      <c r="L263" s="13" t="s">
        <v>27</v>
      </c>
      <c r="M263" s="13" t="s">
        <v>28</v>
      </c>
      <c r="N263" s="13" t="s">
        <v>31</v>
      </c>
      <c r="O263" s="13" t="s">
        <v>32</v>
      </c>
      <c r="P263" s="25" t="s">
        <v>33</v>
      </c>
      <c r="Q263" s="25" t="s">
        <v>33</v>
      </c>
      <c r="R263" s="13" t="s">
        <v>31</v>
      </c>
      <c r="S263" s="13" t="s">
        <v>32</v>
      </c>
      <c r="T263" s="25" t="s">
        <v>33</v>
      </c>
      <c r="U263" s="25" t="s">
        <v>33</v>
      </c>
    </row>
    <row r="264">
      <c r="A264" s="13" t="s">
        <v>794</v>
      </c>
      <c r="B264" s="13" t="s">
        <v>795</v>
      </c>
      <c r="C264" s="14">
        <v>8.9044487961E10</v>
      </c>
      <c r="D264" s="13" t="s">
        <v>23</v>
      </c>
      <c r="E264" s="13" t="s">
        <v>205</v>
      </c>
      <c r="F264" s="13" t="s">
        <v>796</v>
      </c>
      <c r="G264" s="13" t="s">
        <v>38</v>
      </c>
      <c r="H264" s="14">
        <v>53.0</v>
      </c>
      <c r="I264" s="14">
        <f t="shared" si="12"/>
        <v>2</v>
      </c>
      <c r="J264" s="13" t="s">
        <v>39</v>
      </c>
      <c r="K264" s="13" t="s">
        <v>27</v>
      </c>
      <c r="L264" s="13" t="s">
        <v>39</v>
      </c>
      <c r="M264" s="13" t="s">
        <v>27</v>
      </c>
      <c r="N264" s="13"/>
      <c r="O264" s="13"/>
      <c r="P264" s="13" t="s">
        <v>31</v>
      </c>
      <c r="Q264" s="13" t="s">
        <v>30</v>
      </c>
      <c r="R264" s="13"/>
      <c r="S264" s="13"/>
      <c r="T264" s="13" t="s">
        <v>31</v>
      </c>
      <c r="U264" s="13" t="s">
        <v>30</v>
      </c>
    </row>
    <row r="265">
      <c r="A265" s="13" t="s">
        <v>797</v>
      </c>
      <c r="B265" s="13" t="s">
        <v>798</v>
      </c>
      <c r="C265" s="14">
        <v>8.9119508149E10</v>
      </c>
      <c r="D265" s="13" t="s">
        <v>23</v>
      </c>
      <c r="E265" s="13" t="s">
        <v>144</v>
      </c>
      <c r="F265" s="13" t="s">
        <v>144</v>
      </c>
      <c r="G265" s="13" t="s">
        <v>26</v>
      </c>
      <c r="H265" s="14">
        <v>41.0</v>
      </c>
      <c r="I265" s="14">
        <f t="shared" si="12"/>
        <v>2</v>
      </c>
      <c r="J265" s="13" t="s">
        <v>28</v>
      </c>
      <c r="K265" s="13" t="s">
        <v>28</v>
      </c>
      <c r="L265" s="13" t="s">
        <v>27</v>
      </c>
      <c r="M265" s="13" t="s">
        <v>27</v>
      </c>
      <c r="N265" s="25" t="s">
        <v>33</v>
      </c>
      <c r="O265" s="25" t="s">
        <v>33</v>
      </c>
      <c r="P265" s="25" t="s">
        <v>33</v>
      </c>
      <c r="Q265" s="25" t="s">
        <v>33</v>
      </c>
      <c r="R265" s="13" t="s">
        <v>29</v>
      </c>
      <c r="S265" s="13" t="s">
        <v>31</v>
      </c>
      <c r="T265" s="13" t="s">
        <v>40</v>
      </c>
      <c r="U265" s="13" t="s">
        <v>32</v>
      </c>
    </row>
    <row r="266">
      <c r="A266" s="13" t="s">
        <v>799</v>
      </c>
      <c r="B266" s="20" t="s">
        <v>800</v>
      </c>
      <c r="C266" s="14">
        <v>8.9211416302E10</v>
      </c>
      <c r="D266" s="13" t="s">
        <v>23</v>
      </c>
      <c r="E266" s="13" t="s">
        <v>801</v>
      </c>
      <c r="F266" s="13" t="s">
        <v>801</v>
      </c>
      <c r="G266" s="13" t="s">
        <v>26</v>
      </c>
      <c r="H266" s="14">
        <v>35.0</v>
      </c>
      <c r="I266" s="13"/>
      <c r="J266" s="13" t="s">
        <v>27</v>
      </c>
      <c r="K266" s="13" t="s">
        <v>27</v>
      </c>
      <c r="L266" s="13" t="s">
        <v>27</v>
      </c>
      <c r="M266" s="13" t="s">
        <v>48</v>
      </c>
      <c r="N266" s="13" t="s">
        <v>29</v>
      </c>
      <c r="O266" s="13" t="s">
        <v>30</v>
      </c>
      <c r="P266" s="13" t="s">
        <v>40</v>
      </c>
      <c r="Q266" s="13" t="s">
        <v>30</v>
      </c>
      <c r="R266" s="13" t="s">
        <v>40</v>
      </c>
      <c r="S266" s="13" t="s">
        <v>32</v>
      </c>
      <c r="T266" s="13"/>
      <c r="U266" s="13"/>
    </row>
    <row r="267">
      <c r="A267" s="13" t="s">
        <v>802</v>
      </c>
      <c r="B267" s="13" t="s">
        <v>803</v>
      </c>
      <c r="C267" s="14">
        <v>8.9297011977E10</v>
      </c>
      <c r="D267" s="13" t="s">
        <v>52</v>
      </c>
      <c r="E267" s="13" t="s">
        <v>322</v>
      </c>
      <c r="F267" s="13" t="s">
        <v>202</v>
      </c>
      <c r="G267" s="13" t="s">
        <v>26</v>
      </c>
      <c r="H267" s="14">
        <v>31.0</v>
      </c>
      <c r="I267" s="13"/>
      <c r="J267" s="13" t="s">
        <v>27</v>
      </c>
      <c r="K267" s="13" t="s">
        <v>48</v>
      </c>
      <c r="L267" s="13" t="s">
        <v>27</v>
      </c>
      <c r="M267" s="13" t="s">
        <v>27</v>
      </c>
      <c r="N267" s="13" t="s">
        <v>40</v>
      </c>
      <c r="O267" s="13" t="s">
        <v>32</v>
      </c>
      <c r="P267" s="13"/>
      <c r="Q267" s="13"/>
      <c r="R267" s="13" t="s">
        <v>29</v>
      </c>
      <c r="S267" s="13" t="s">
        <v>30</v>
      </c>
      <c r="T267" s="13" t="s">
        <v>40</v>
      </c>
      <c r="U267" s="13" t="s">
        <v>30</v>
      </c>
    </row>
    <row r="268">
      <c r="A268" s="13" t="s">
        <v>804</v>
      </c>
      <c r="B268" s="20" t="s">
        <v>805</v>
      </c>
      <c r="C268" s="14">
        <v>8.9163257752E10</v>
      </c>
      <c r="D268" s="13" t="s">
        <v>52</v>
      </c>
      <c r="E268" s="13" t="s">
        <v>806</v>
      </c>
      <c r="F268" s="13" t="s">
        <v>807</v>
      </c>
      <c r="G268" s="13" t="s">
        <v>26</v>
      </c>
      <c r="H268" s="14">
        <v>36.0</v>
      </c>
      <c r="I268" s="13"/>
      <c r="J268" s="13" t="s">
        <v>27</v>
      </c>
      <c r="K268" s="13" t="s">
        <v>48</v>
      </c>
      <c r="L268" s="13" t="s">
        <v>27</v>
      </c>
      <c r="M268" s="13" t="s">
        <v>48</v>
      </c>
      <c r="N268" s="13" t="s">
        <v>31</v>
      </c>
      <c r="O268" s="13" t="s">
        <v>30</v>
      </c>
      <c r="P268" s="13"/>
      <c r="Q268" s="13"/>
      <c r="R268" s="13" t="s">
        <v>31</v>
      </c>
      <c r="S268" s="13" t="s">
        <v>32</v>
      </c>
      <c r="T268" s="13"/>
      <c r="U268" s="13"/>
    </row>
    <row r="269">
      <c r="A269" s="13" t="s">
        <v>808</v>
      </c>
      <c r="B269" s="20" t="s">
        <v>809</v>
      </c>
      <c r="C269" s="14">
        <v>8.9172330073E10</v>
      </c>
      <c r="D269" s="13" t="s">
        <v>23</v>
      </c>
      <c r="E269" s="13" t="s">
        <v>810</v>
      </c>
      <c r="F269" s="13" t="s">
        <v>98</v>
      </c>
      <c r="G269" s="13" t="s">
        <v>26</v>
      </c>
      <c r="H269" s="14">
        <v>50.0</v>
      </c>
      <c r="I269" s="13"/>
      <c r="J269" s="13" t="s">
        <v>27</v>
      </c>
      <c r="K269" s="13" t="s">
        <v>48</v>
      </c>
      <c r="L269" s="13" t="s">
        <v>27</v>
      </c>
      <c r="M269" s="13" t="s">
        <v>48</v>
      </c>
      <c r="N269" s="13" t="s">
        <v>40</v>
      </c>
      <c r="O269" s="13" t="s">
        <v>32</v>
      </c>
      <c r="P269" s="13"/>
      <c r="Q269" s="13"/>
      <c r="R269" s="13" t="s">
        <v>29</v>
      </c>
      <c r="S269" s="13" t="s">
        <v>31</v>
      </c>
      <c r="T269" s="13"/>
      <c r="U269" s="13"/>
    </row>
    <row r="270">
      <c r="A270" s="13" t="s">
        <v>811</v>
      </c>
      <c r="B270" s="20" t="s">
        <v>812</v>
      </c>
      <c r="C270" s="14">
        <v>8.9528116263E10</v>
      </c>
      <c r="D270" s="13" t="s">
        <v>23</v>
      </c>
      <c r="E270" s="13" t="s">
        <v>520</v>
      </c>
      <c r="F270" s="13" t="s">
        <v>521</v>
      </c>
      <c r="G270" s="13" t="s">
        <v>26</v>
      </c>
      <c r="H270" s="14">
        <v>30.0</v>
      </c>
      <c r="I270" s="13"/>
      <c r="J270" s="13" t="s">
        <v>27</v>
      </c>
      <c r="K270" s="13" t="s">
        <v>48</v>
      </c>
      <c r="L270" s="13" t="s">
        <v>39</v>
      </c>
      <c r="M270" s="13" t="s">
        <v>27</v>
      </c>
      <c r="N270" s="13" t="s">
        <v>29</v>
      </c>
      <c r="O270" s="13" t="s">
        <v>30</v>
      </c>
      <c r="P270" s="13"/>
      <c r="Q270" s="13"/>
      <c r="R270" s="13"/>
      <c r="S270" s="13"/>
      <c r="T270" s="13" t="s">
        <v>29</v>
      </c>
      <c r="U270" s="13" t="s">
        <v>30</v>
      </c>
    </row>
    <row r="271">
      <c r="A271" s="13" t="s">
        <v>813</v>
      </c>
      <c r="B271" s="20" t="s">
        <v>814</v>
      </c>
      <c r="C271" s="14">
        <v>8.9117510406E10</v>
      </c>
      <c r="D271" s="13" t="s">
        <v>52</v>
      </c>
      <c r="E271" s="13" t="s">
        <v>144</v>
      </c>
      <c r="F271" s="13" t="s">
        <v>144</v>
      </c>
      <c r="G271" s="13" t="s">
        <v>38</v>
      </c>
      <c r="H271" s="14">
        <v>31.0</v>
      </c>
      <c r="I271" s="13"/>
      <c r="J271" s="13" t="s">
        <v>39</v>
      </c>
      <c r="K271" s="13" t="s">
        <v>27</v>
      </c>
      <c r="L271" s="13" t="s">
        <v>27</v>
      </c>
      <c r="M271" s="13" t="s">
        <v>27</v>
      </c>
      <c r="N271" s="13"/>
      <c r="O271" s="13"/>
      <c r="P271" s="13" t="s">
        <v>40</v>
      </c>
      <c r="Q271" s="13" t="s">
        <v>32</v>
      </c>
      <c r="R271" s="13" t="s">
        <v>29</v>
      </c>
      <c r="S271" s="13" t="s">
        <v>31</v>
      </c>
      <c r="T271" s="13" t="s">
        <v>40</v>
      </c>
      <c r="U271" s="13" t="s">
        <v>32</v>
      </c>
    </row>
    <row r="272">
      <c r="A272" s="13" t="s">
        <v>815</v>
      </c>
      <c r="B272" s="20" t="s">
        <v>816</v>
      </c>
      <c r="C272" s="14">
        <v>8.9969299302E10</v>
      </c>
      <c r="D272" s="13" t="s">
        <v>52</v>
      </c>
      <c r="E272" s="13" t="s">
        <v>161</v>
      </c>
      <c r="F272" s="13" t="s">
        <v>144</v>
      </c>
      <c r="G272" s="13" t="s">
        <v>26</v>
      </c>
      <c r="H272" s="14">
        <v>25.0</v>
      </c>
      <c r="I272" s="13"/>
      <c r="J272" s="13" t="s">
        <v>27</v>
      </c>
      <c r="K272" s="13" t="s">
        <v>27</v>
      </c>
      <c r="L272" s="13" t="s">
        <v>27</v>
      </c>
      <c r="M272" s="13" t="s">
        <v>27</v>
      </c>
      <c r="N272" s="13" t="s">
        <v>29</v>
      </c>
      <c r="O272" s="13" t="s">
        <v>30</v>
      </c>
      <c r="P272" s="13" t="s">
        <v>29</v>
      </c>
      <c r="Q272" s="13" t="s">
        <v>30</v>
      </c>
      <c r="R272" s="13" t="s">
        <v>29</v>
      </c>
      <c r="S272" s="13" t="s">
        <v>31</v>
      </c>
      <c r="T272" s="13" t="s">
        <v>29</v>
      </c>
      <c r="U272" s="13" t="s">
        <v>30</v>
      </c>
    </row>
    <row r="273">
      <c r="A273" s="13" t="s">
        <v>817</v>
      </c>
      <c r="B273" s="13"/>
      <c r="C273" s="13"/>
      <c r="D273" s="13"/>
      <c r="E273" s="13"/>
      <c r="F273" s="13"/>
      <c r="G273" s="13"/>
      <c r="H273" s="13"/>
      <c r="I273" s="13"/>
      <c r="J273" s="13" t="s">
        <v>28</v>
      </c>
      <c r="K273" s="13" t="s">
        <v>27</v>
      </c>
      <c r="L273" s="13" t="s">
        <v>28</v>
      </c>
      <c r="M273" s="13" t="s">
        <v>28</v>
      </c>
      <c r="N273" s="13"/>
      <c r="O273" s="13"/>
      <c r="P273" s="13" t="s">
        <v>29</v>
      </c>
      <c r="Q273" s="13" t="s">
        <v>31</v>
      </c>
      <c r="R273" s="13"/>
      <c r="S273" s="13"/>
      <c r="T273" s="13"/>
      <c r="U273" s="13"/>
    </row>
    <row r="274">
      <c r="A274" s="13" t="s">
        <v>818</v>
      </c>
      <c r="B274" s="13" t="s">
        <v>819</v>
      </c>
      <c r="C274" s="14">
        <v>8.9200724242E10</v>
      </c>
      <c r="D274" s="13" t="s">
        <v>23</v>
      </c>
      <c r="E274" s="13" t="s">
        <v>820</v>
      </c>
      <c r="F274" s="13" t="s">
        <v>821</v>
      </c>
      <c r="G274" s="13" t="s">
        <v>26</v>
      </c>
      <c r="H274" s="14">
        <v>33.0</v>
      </c>
      <c r="I274" s="32">
        <f t="shared" ref="I274:I281" si="13">COUNTIF(J274:M274, "Да, являюсь клиентом банка более полугода") + COUNTIF(J274:M274, "Да, являюсь клиентом банка менее полугода")</f>
        <v>0</v>
      </c>
      <c r="J274" s="13" t="s">
        <v>27</v>
      </c>
      <c r="K274" s="13" t="s">
        <v>27</v>
      </c>
      <c r="L274" s="13" t="s">
        <v>27</v>
      </c>
      <c r="M274" s="13" t="s">
        <v>27</v>
      </c>
      <c r="N274" s="13" t="s">
        <v>29</v>
      </c>
      <c r="O274" s="13" t="s">
        <v>31</v>
      </c>
      <c r="P274" s="13" t="s">
        <v>31</v>
      </c>
      <c r="Q274" s="13" t="s">
        <v>32</v>
      </c>
      <c r="R274" s="25" t="s">
        <v>33</v>
      </c>
      <c r="S274" s="25" t="s">
        <v>33</v>
      </c>
      <c r="T274" s="13" t="s">
        <v>40</v>
      </c>
      <c r="U274" s="13" t="s">
        <v>32</v>
      </c>
    </row>
    <row r="275">
      <c r="A275" s="13" t="s">
        <v>822</v>
      </c>
      <c r="B275" s="13" t="s">
        <v>823</v>
      </c>
      <c r="C275" s="14">
        <v>8.9234342207E10</v>
      </c>
      <c r="D275" s="13" t="s">
        <v>23</v>
      </c>
      <c r="E275" s="13" t="s">
        <v>47</v>
      </c>
      <c r="F275" s="13" t="s">
        <v>47</v>
      </c>
      <c r="G275" s="13" t="s">
        <v>26</v>
      </c>
      <c r="H275" s="14">
        <v>39.0</v>
      </c>
      <c r="I275" s="32">
        <f t="shared" si="13"/>
        <v>0</v>
      </c>
      <c r="J275" s="13" t="s">
        <v>27</v>
      </c>
      <c r="K275" s="13" t="s">
        <v>27</v>
      </c>
      <c r="L275" s="13" t="s">
        <v>28</v>
      </c>
      <c r="M275" s="13" t="s">
        <v>27</v>
      </c>
      <c r="N275" s="13" t="s">
        <v>29</v>
      </c>
      <c r="O275" s="13" t="s">
        <v>31</v>
      </c>
      <c r="P275" s="13" t="s">
        <v>29</v>
      </c>
      <c r="Q275" s="13" t="s">
        <v>30</v>
      </c>
      <c r="R275" s="13"/>
      <c r="S275" s="13"/>
      <c r="T275" s="13" t="s">
        <v>29</v>
      </c>
      <c r="U275" s="13" t="s">
        <v>31</v>
      </c>
    </row>
    <row r="276">
      <c r="A276" s="13" t="s">
        <v>824</v>
      </c>
      <c r="B276" s="20" t="s">
        <v>825</v>
      </c>
      <c r="C276" s="14">
        <v>8.9096218624E10</v>
      </c>
      <c r="D276" s="13" t="s">
        <v>23</v>
      </c>
      <c r="E276" s="13" t="s">
        <v>36</v>
      </c>
      <c r="F276" s="13" t="s">
        <v>826</v>
      </c>
      <c r="G276" s="13" t="s">
        <v>26</v>
      </c>
      <c r="H276" s="14">
        <v>33.0</v>
      </c>
      <c r="I276" s="32">
        <f t="shared" si="13"/>
        <v>0</v>
      </c>
      <c r="J276" s="13" t="s">
        <v>28</v>
      </c>
      <c r="K276" s="13" t="s">
        <v>27</v>
      </c>
      <c r="L276" s="13" t="s">
        <v>28</v>
      </c>
      <c r="M276" s="13" t="s">
        <v>28</v>
      </c>
      <c r="N276" s="13"/>
      <c r="O276" s="13"/>
      <c r="P276" s="13" t="s">
        <v>31</v>
      </c>
      <c r="Q276" s="13" t="s">
        <v>32</v>
      </c>
      <c r="R276" s="13"/>
      <c r="S276" s="13"/>
      <c r="T276" s="13"/>
      <c r="U276" s="13"/>
    </row>
    <row r="277">
      <c r="A277" s="13" t="s">
        <v>827</v>
      </c>
      <c r="B277" s="13" t="s">
        <v>828</v>
      </c>
      <c r="C277" s="14">
        <v>8.9204509984E10</v>
      </c>
      <c r="D277" s="13" t="s">
        <v>52</v>
      </c>
      <c r="E277" s="13" t="s">
        <v>121</v>
      </c>
      <c r="F277" s="13" t="s">
        <v>118</v>
      </c>
      <c r="G277" s="13" t="s">
        <v>26</v>
      </c>
      <c r="H277" s="14">
        <v>28.0</v>
      </c>
      <c r="I277" s="32">
        <f t="shared" si="13"/>
        <v>0</v>
      </c>
      <c r="J277" s="13" t="s">
        <v>27</v>
      </c>
      <c r="K277" s="13" t="s">
        <v>48</v>
      </c>
      <c r="L277" s="13" t="s">
        <v>39</v>
      </c>
      <c r="M277" s="13" t="s">
        <v>27</v>
      </c>
      <c r="N277" s="13" t="s">
        <v>29</v>
      </c>
      <c r="O277" s="13" t="s">
        <v>31</v>
      </c>
      <c r="P277" s="13"/>
      <c r="Q277" s="13"/>
      <c r="R277" s="13"/>
      <c r="S277" s="13"/>
      <c r="T277" s="13" t="s">
        <v>31</v>
      </c>
      <c r="U277" s="13" t="s">
        <v>32</v>
      </c>
    </row>
    <row r="278">
      <c r="A278" s="13" t="s">
        <v>829</v>
      </c>
      <c r="B278" s="20" t="s">
        <v>830</v>
      </c>
      <c r="C278" s="14">
        <v>8.9104566777E10</v>
      </c>
      <c r="D278" s="13" t="s">
        <v>23</v>
      </c>
      <c r="E278" s="13" t="s">
        <v>77</v>
      </c>
      <c r="F278" s="13" t="s">
        <v>77</v>
      </c>
      <c r="G278" s="13" t="s">
        <v>26</v>
      </c>
      <c r="H278" s="14">
        <v>38.0</v>
      </c>
      <c r="I278" s="32">
        <f t="shared" si="13"/>
        <v>0</v>
      </c>
      <c r="J278" s="13" t="s">
        <v>48</v>
      </c>
      <c r="K278" s="13" t="s">
        <v>48</v>
      </c>
      <c r="L278" s="13" t="s">
        <v>48</v>
      </c>
      <c r="M278" s="13" t="s">
        <v>27</v>
      </c>
      <c r="N278" s="13"/>
      <c r="O278" s="13"/>
      <c r="P278" s="13"/>
      <c r="Q278" s="13"/>
      <c r="R278" s="13"/>
      <c r="S278" s="13"/>
      <c r="T278" s="13" t="s">
        <v>29</v>
      </c>
      <c r="U278" s="13" t="s">
        <v>30</v>
      </c>
    </row>
    <row r="279">
      <c r="A279" s="13" t="s">
        <v>831</v>
      </c>
      <c r="B279" s="13" t="s">
        <v>832</v>
      </c>
      <c r="C279" s="14">
        <v>8.9171299718E10</v>
      </c>
      <c r="D279" s="13" t="s">
        <v>23</v>
      </c>
      <c r="E279" s="13" t="s">
        <v>322</v>
      </c>
      <c r="F279" s="13" t="s">
        <v>833</v>
      </c>
      <c r="G279" s="13" t="s">
        <v>26</v>
      </c>
      <c r="H279" s="14">
        <v>31.0</v>
      </c>
      <c r="I279" s="32">
        <f t="shared" si="13"/>
        <v>0</v>
      </c>
      <c r="J279" s="13" t="s">
        <v>27</v>
      </c>
      <c r="K279" s="13" t="s">
        <v>48</v>
      </c>
      <c r="L279" s="13" t="s">
        <v>48</v>
      </c>
      <c r="M279" s="13" t="s">
        <v>27</v>
      </c>
      <c r="N279" s="13" t="s">
        <v>29</v>
      </c>
      <c r="O279" s="13" t="s">
        <v>31</v>
      </c>
      <c r="P279" s="13"/>
      <c r="Q279" s="13"/>
      <c r="R279" s="13"/>
      <c r="S279" s="13"/>
      <c r="T279" s="13" t="s">
        <v>29</v>
      </c>
      <c r="U279" s="13" t="s">
        <v>31</v>
      </c>
    </row>
    <row r="280">
      <c r="A280" s="13" t="s">
        <v>834</v>
      </c>
      <c r="B280" s="14">
        <v>8.9871331097E10</v>
      </c>
      <c r="C280" s="14">
        <v>8.9871331097E10</v>
      </c>
      <c r="D280" s="13" t="s">
        <v>23</v>
      </c>
      <c r="E280" s="13" t="s">
        <v>132</v>
      </c>
      <c r="F280" s="13" t="s">
        <v>54</v>
      </c>
      <c r="G280" s="13" t="s">
        <v>26</v>
      </c>
      <c r="H280" s="14">
        <v>42.0</v>
      </c>
      <c r="I280" s="32">
        <f t="shared" si="13"/>
        <v>0</v>
      </c>
      <c r="J280" s="13" t="s">
        <v>27</v>
      </c>
      <c r="K280" s="13" t="s">
        <v>48</v>
      </c>
      <c r="L280" s="13" t="s">
        <v>39</v>
      </c>
      <c r="M280" s="13" t="s">
        <v>27</v>
      </c>
      <c r="N280" s="13" t="s">
        <v>29</v>
      </c>
      <c r="O280" s="13" t="s">
        <v>31</v>
      </c>
      <c r="P280" s="13"/>
      <c r="Q280" s="13"/>
      <c r="R280" s="13"/>
      <c r="S280" s="13"/>
      <c r="T280" s="13" t="s">
        <v>29</v>
      </c>
      <c r="U280" s="13" t="s">
        <v>31</v>
      </c>
    </row>
    <row r="281">
      <c r="A281" s="13" t="s">
        <v>835</v>
      </c>
      <c r="B281" s="13" t="s">
        <v>836</v>
      </c>
      <c r="C281" s="14">
        <v>8.9030394965E10</v>
      </c>
      <c r="D281" s="13" t="s">
        <v>23</v>
      </c>
      <c r="E281" s="13" t="s">
        <v>837</v>
      </c>
      <c r="F281" s="13" t="s">
        <v>838</v>
      </c>
      <c r="G281" s="13" t="s">
        <v>26</v>
      </c>
      <c r="H281" s="14">
        <v>38.0</v>
      </c>
      <c r="I281" s="32">
        <f t="shared" si="13"/>
        <v>0</v>
      </c>
      <c r="J281" s="13" t="s">
        <v>27</v>
      </c>
      <c r="K281" s="13" t="s">
        <v>48</v>
      </c>
      <c r="L281" s="13" t="s">
        <v>39</v>
      </c>
      <c r="M281" s="13" t="s">
        <v>27</v>
      </c>
      <c r="N281" s="13"/>
      <c r="O281" s="13"/>
      <c r="P281" s="13"/>
      <c r="Q281" s="13"/>
      <c r="R281" s="13"/>
      <c r="S281" s="13"/>
      <c r="T281" s="13" t="s">
        <v>29</v>
      </c>
      <c r="U281" s="13" t="s">
        <v>31</v>
      </c>
    </row>
    <row r="282">
      <c r="A282" s="13" t="s">
        <v>839</v>
      </c>
      <c r="B282" s="20" t="s">
        <v>840</v>
      </c>
      <c r="C282" s="14">
        <v>8.9118002969E10</v>
      </c>
      <c r="D282" s="13" t="s">
        <v>23</v>
      </c>
      <c r="E282" s="13" t="s">
        <v>841</v>
      </c>
      <c r="F282" s="13" t="s">
        <v>842</v>
      </c>
      <c r="G282" s="13" t="s">
        <v>38</v>
      </c>
      <c r="H282" s="14">
        <v>33.0</v>
      </c>
      <c r="I282" s="29">
        <v>3.0</v>
      </c>
      <c r="J282" s="13" t="s">
        <v>27</v>
      </c>
      <c r="K282" s="13" t="s">
        <v>27</v>
      </c>
      <c r="L282" s="13" t="s">
        <v>39</v>
      </c>
      <c r="M282" s="13" t="s">
        <v>48</v>
      </c>
      <c r="N282" s="13" t="s">
        <v>31</v>
      </c>
      <c r="O282" s="13" t="s">
        <v>32</v>
      </c>
      <c r="P282" s="13" t="s">
        <v>29</v>
      </c>
      <c r="Q282" s="13" t="s">
        <v>30</v>
      </c>
      <c r="R282" s="13"/>
      <c r="S282" s="13"/>
      <c r="T282" s="13"/>
      <c r="U282" s="13"/>
    </row>
    <row r="283">
      <c r="A283" s="13" t="s">
        <v>843</v>
      </c>
      <c r="B283" s="13" t="s">
        <v>844</v>
      </c>
      <c r="C283" s="14">
        <v>8.9535106484E10</v>
      </c>
      <c r="D283" s="13" t="s">
        <v>23</v>
      </c>
      <c r="E283" s="13" t="s">
        <v>654</v>
      </c>
      <c r="F283" s="13" t="s">
        <v>845</v>
      </c>
      <c r="G283" s="13" t="s">
        <v>38</v>
      </c>
      <c r="H283" s="14">
        <v>40.0</v>
      </c>
      <c r="I283" s="29">
        <v>1.0</v>
      </c>
      <c r="J283" s="13" t="s">
        <v>48</v>
      </c>
      <c r="K283" s="13" t="s">
        <v>27</v>
      </c>
      <c r="L283" s="13" t="s">
        <v>48</v>
      </c>
      <c r="M283" s="13" t="s">
        <v>48</v>
      </c>
      <c r="N283" s="13"/>
      <c r="O283" s="13"/>
      <c r="P283" s="13" t="s">
        <v>29</v>
      </c>
      <c r="Q283" s="13" t="s">
        <v>31</v>
      </c>
      <c r="R283" s="13"/>
      <c r="S283" s="13"/>
      <c r="T283" s="13"/>
      <c r="U283" s="13"/>
    </row>
    <row r="284">
      <c r="A284" s="13" t="s">
        <v>846</v>
      </c>
      <c r="B284" s="13" t="s">
        <v>847</v>
      </c>
      <c r="C284" s="14">
        <v>8.9275585978E10</v>
      </c>
      <c r="D284" s="13" t="s">
        <v>23</v>
      </c>
      <c r="E284" s="13" t="s">
        <v>848</v>
      </c>
      <c r="F284" s="13" t="s">
        <v>73</v>
      </c>
      <c r="G284" s="13" t="s">
        <v>38</v>
      </c>
      <c r="H284" s="14">
        <v>35.0</v>
      </c>
      <c r="I284" s="29">
        <v>1.0</v>
      </c>
      <c r="J284" s="13" t="s">
        <v>48</v>
      </c>
      <c r="K284" s="13" t="s">
        <v>27</v>
      </c>
      <c r="L284" s="13" t="s">
        <v>48</v>
      </c>
      <c r="M284" s="13" t="s">
        <v>48</v>
      </c>
      <c r="N284" s="13"/>
      <c r="O284" s="13"/>
      <c r="P284" s="13" t="s">
        <v>29</v>
      </c>
      <c r="Q284" s="13" t="s">
        <v>31</v>
      </c>
      <c r="R284" s="13"/>
      <c r="S284" s="13"/>
      <c r="T284" s="13"/>
      <c r="U284" s="13"/>
    </row>
    <row r="285">
      <c r="A285" s="13" t="s">
        <v>849</v>
      </c>
      <c r="B285" s="13" t="s">
        <v>850</v>
      </c>
      <c r="C285" s="14">
        <v>8.908798605E10</v>
      </c>
      <c r="D285" s="13" t="s">
        <v>23</v>
      </c>
      <c r="E285" s="13" t="s">
        <v>851</v>
      </c>
      <c r="F285" s="13" t="s">
        <v>610</v>
      </c>
      <c r="G285" s="13" t="s">
        <v>38</v>
      </c>
      <c r="H285" s="14">
        <v>19.0</v>
      </c>
      <c r="I285" s="29">
        <v>1.0</v>
      </c>
      <c r="J285" s="13" t="s">
        <v>48</v>
      </c>
      <c r="K285" s="13" t="s">
        <v>27</v>
      </c>
      <c r="L285" s="13" t="s">
        <v>48</v>
      </c>
      <c r="M285" s="13" t="s">
        <v>48</v>
      </c>
      <c r="N285" s="13"/>
      <c r="O285" s="13"/>
      <c r="P285" s="13" t="s">
        <v>29</v>
      </c>
      <c r="Q285" s="13" t="s">
        <v>31</v>
      </c>
      <c r="R285" s="13"/>
      <c r="S285" s="13"/>
      <c r="T285" s="13"/>
      <c r="U285" s="13"/>
    </row>
    <row r="286">
      <c r="A286" s="13" t="s">
        <v>852</v>
      </c>
      <c r="B286" s="13" t="s">
        <v>853</v>
      </c>
      <c r="C286" s="14">
        <v>8.9021513908E10</v>
      </c>
      <c r="D286" s="13" t="s">
        <v>23</v>
      </c>
      <c r="E286" s="13" t="s">
        <v>452</v>
      </c>
      <c r="F286" s="13" t="s">
        <v>290</v>
      </c>
      <c r="G286" s="13" t="s">
        <v>26</v>
      </c>
      <c r="H286" s="14">
        <v>37.0</v>
      </c>
      <c r="I286" s="29">
        <v>1.0</v>
      </c>
      <c r="J286" s="13" t="s">
        <v>48</v>
      </c>
      <c r="K286" s="13" t="s">
        <v>27</v>
      </c>
      <c r="L286" s="13" t="s">
        <v>48</v>
      </c>
      <c r="M286" s="13" t="s">
        <v>48</v>
      </c>
      <c r="N286" s="13"/>
      <c r="O286" s="13"/>
      <c r="P286" s="13" t="s">
        <v>31</v>
      </c>
      <c r="Q286" s="13" t="s">
        <v>32</v>
      </c>
      <c r="R286" s="13"/>
      <c r="S286" s="13"/>
      <c r="T286" s="13"/>
      <c r="U286" s="13"/>
    </row>
    <row r="287">
      <c r="A287" s="13" t="s">
        <v>854</v>
      </c>
      <c r="B287" s="13" t="s">
        <v>855</v>
      </c>
      <c r="C287" s="14">
        <v>8.9226196692E10</v>
      </c>
      <c r="D287" s="13" t="s">
        <v>23</v>
      </c>
      <c r="E287" s="13" t="s">
        <v>452</v>
      </c>
      <c r="F287" s="13" t="s">
        <v>290</v>
      </c>
      <c r="G287" s="13" t="s">
        <v>26</v>
      </c>
      <c r="H287" s="14">
        <v>30.0</v>
      </c>
      <c r="I287" s="29">
        <v>3.0</v>
      </c>
      <c r="J287" s="13" t="s">
        <v>27</v>
      </c>
      <c r="K287" s="13" t="s">
        <v>27</v>
      </c>
      <c r="L287" s="13" t="s">
        <v>39</v>
      </c>
      <c r="M287" s="13" t="s">
        <v>48</v>
      </c>
      <c r="N287" s="13" t="s">
        <v>29</v>
      </c>
      <c r="O287" s="13" t="s">
        <v>31</v>
      </c>
      <c r="P287" s="13" t="s">
        <v>29</v>
      </c>
      <c r="Q287" s="13" t="s">
        <v>31</v>
      </c>
      <c r="R287" s="13"/>
      <c r="S287" s="13"/>
      <c r="T287" s="13"/>
      <c r="U287" s="13"/>
    </row>
    <row r="288">
      <c r="A288" s="13" t="s">
        <v>856</v>
      </c>
      <c r="B288" s="20" t="s">
        <v>857</v>
      </c>
      <c r="C288" s="14">
        <v>8.9637337237E10</v>
      </c>
      <c r="D288" s="13" t="s">
        <v>23</v>
      </c>
      <c r="E288" s="13" t="s">
        <v>36</v>
      </c>
      <c r="F288" s="13" t="s">
        <v>858</v>
      </c>
      <c r="G288" s="13" t="s">
        <v>26</v>
      </c>
      <c r="H288" s="14">
        <v>27.0</v>
      </c>
      <c r="I288" s="29">
        <v>3.0</v>
      </c>
      <c r="J288" s="13" t="s">
        <v>27</v>
      </c>
      <c r="K288" s="13" t="s">
        <v>27</v>
      </c>
      <c r="L288" s="13" t="s">
        <v>48</v>
      </c>
      <c r="M288" s="13" t="s">
        <v>27</v>
      </c>
      <c r="N288" s="13" t="s">
        <v>31</v>
      </c>
      <c r="O288" s="13" t="s">
        <v>32</v>
      </c>
      <c r="P288" s="13" t="s">
        <v>31</v>
      </c>
      <c r="Q288" s="13" t="s">
        <v>32</v>
      </c>
      <c r="R288" s="13"/>
      <c r="S288" s="13"/>
      <c r="T288" s="13" t="s">
        <v>29</v>
      </c>
      <c r="U288" s="13" t="s">
        <v>31</v>
      </c>
    </row>
    <row r="289">
      <c r="A289" s="13" t="s">
        <v>859</v>
      </c>
      <c r="B289" s="13" t="s">
        <v>860</v>
      </c>
      <c r="C289" s="14">
        <v>8.9529454314E10</v>
      </c>
      <c r="D289" s="13" t="s">
        <v>23</v>
      </c>
      <c r="E289" s="13" t="s">
        <v>861</v>
      </c>
      <c r="F289" s="13" t="s">
        <v>206</v>
      </c>
      <c r="G289" s="13" t="s">
        <v>26</v>
      </c>
      <c r="H289" s="14">
        <v>42.0</v>
      </c>
      <c r="I289" s="33">
        <v>3.0</v>
      </c>
      <c r="J289" s="13" t="s">
        <v>48</v>
      </c>
      <c r="K289" s="13" t="s">
        <v>27</v>
      </c>
      <c r="L289" s="13" t="s">
        <v>39</v>
      </c>
      <c r="M289" s="13" t="s">
        <v>27</v>
      </c>
      <c r="N289" s="13"/>
      <c r="O289" s="13"/>
      <c r="P289" s="13" t="s">
        <v>29</v>
      </c>
      <c r="Q289" s="13" t="s">
        <v>31</v>
      </c>
      <c r="R289" s="13"/>
      <c r="S289" s="13"/>
      <c r="T289" s="13" t="s">
        <v>29</v>
      </c>
      <c r="U289" s="13" t="s">
        <v>30</v>
      </c>
    </row>
    <row r="290">
      <c r="A290" s="13" t="s">
        <v>862</v>
      </c>
      <c r="B290" s="13" t="s">
        <v>863</v>
      </c>
      <c r="C290" s="14">
        <v>8.9033609064E10</v>
      </c>
      <c r="D290" s="13" t="s">
        <v>52</v>
      </c>
      <c r="E290" s="13" t="s">
        <v>864</v>
      </c>
      <c r="F290" s="13" t="s">
        <v>328</v>
      </c>
      <c r="G290" s="13" t="s">
        <v>26</v>
      </c>
      <c r="H290" s="14">
        <v>38.0</v>
      </c>
      <c r="I290" s="14">
        <f t="shared" ref="I290:I296" si="14">COUNTIF(J290:M290, "Да, являюсь клиентом банка более полугода") + COUNTIF(J290:M290, "Да, являюсь клиентом банка менее полугода")</f>
        <v>0</v>
      </c>
      <c r="J290" s="13" t="s">
        <v>48</v>
      </c>
      <c r="K290" s="13" t="s">
        <v>48</v>
      </c>
      <c r="L290" s="13" t="s">
        <v>39</v>
      </c>
      <c r="M290" s="13" t="s">
        <v>27</v>
      </c>
      <c r="N290" s="13"/>
      <c r="O290" s="13"/>
      <c r="P290" s="13"/>
      <c r="Q290" s="13"/>
      <c r="R290" s="13"/>
      <c r="S290" s="13"/>
      <c r="T290" s="13" t="s">
        <v>31</v>
      </c>
      <c r="U290" s="13" t="s">
        <v>32</v>
      </c>
    </row>
    <row r="291">
      <c r="A291" s="13" t="s">
        <v>865</v>
      </c>
      <c r="B291" s="13" t="s">
        <v>866</v>
      </c>
      <c r="C291" s="14">
        <v>8.9041647439E10</v>
      </c>
      <c r="D291" s="13" t="s">
        <v>23</v>
      </c>
      <c r="E291" s="13" t="s">
        <v>452</v>
      </c>
      <c r="F291" s="13" t="s">
        <v>867</v>
      </c>
      <c r="G291" s="13" t="s">
        <v>26</v>
      </c>
      <c r="H291" s="14">
        <v>32.0</v>
      </c>
      <c r="I291" s="14">
        <f t="shared" si="14"/>
        <v>0</v>
      </c>
      <c r="J291" s="13" t="s">
        <v>27</v>
      </c>
      <c r="K291" s="13" t="s">
        <v>48</v>
      </c>
      <c r="L291" s="13" t="s">
        <v>27</v>
      </c>
      <c r="M291" s="13" t="s">
        <v>48</v>
      </c>
      <c r="N291" s="13" t="s">
        <v>29</v>
      </c>
      <c r="O291" s="13" t="s">
        <v>31</v>
      </c>
      <c r="P291" s="13"/>
      <c r="Q291" s="13"/>
      <c r="R291" s="13" t="s">
        <v>29</v>
      </c>
      <c r="S291" s="13" t="s">
        <v>31</v>
      </c>
      <c r="T291" s="13"/>
      <c r="U291" s="13"/>
    </row>
    <row r="292">
      <c r="A292" s="13" t="s">
        <v>868</v>
      </c>
      <c r="B292" s="13" t="s">
        <v>869</v>
      </c>
      <c r="C292" s="14">
        <v>8.9267889966E10</v>
      </c>
      <c r="D292" s="13" t="s">
        <v>23</v>
      </c>
      <c r="E292" s="13" t="s">
        <v>76</v>
      </c>
      <c r="F292" s="13" t="s">
        <v>76</v>
      </c>
      <c r="G292" s="13" t="s">
        <v>26</v>
      </c>
      <c r="H292" s="14">
        <v>41.0</v>
      </c>
      <c r="I292" s="14">
        <f t="shared" si="14"/>
        <v>0</v>
      </c>
      <c r="J292" s="13" t="s">
        <v>39</v>
      </c>
      <c r="K292" s="13" t="s">
        <v>48</v>
      </c>
      <c r="L292" s="13" t="s">
        <v>39</v>
      </c>
      <c r="M292" s="13" t="s">
        <v>27</v>
      </c>
      <c r="N292" s="13"/>
      <c r="O292" s="13"/>
      <c r="P292" s="13"/>
      <c r="Q292" s="13"/>
      <c r="R292" s="13"/>
      <c r="S292" s="13"/>
      <c r="T292" s="13" t="s">
        <v>31</v>
      </c>
      <c r="U292" s="13" t="s">
        <v>32</v>
      </c>
    </row>
    <row r="293">
      <c r="A293" s="13" t="s">
        <v>870</v>
      </c>
      <c r="B293" s="20" t="s">
        <v>871</v>
      </c>
      <c r="C293" s="14">
        <v>8.9119208862E10</v>
      </c>
      <c r="D293" s="13" t="s">
        <v>23</v>
      </c>
      <c r="E293" s="13" t="s">
        <v>144</v>
      </c>
      <c r="F293" s="13" t="s">
        <v>144</v>
      </c>
      <c r="G293" s="13" t="s">
        <v>38</v>
      </c>
      <c r="H293" s="14">
        <v>42.0</v>
      </c>
      <c r="I293" s="14">
        <f t="shared" si="14"/>
        <v>0</v>
      </c>
      <c r="J293" s="13" t="s">
        <v>39</v>
      </c>
      <c r="K293" s="13" t="s">
        <v>39</v>
      </c>
      <c r="L293" s="13" t="s">
        <v>39</v>
      </c>
      <c r="M293" s="13" t="s">
        <v>27</v>
      </c>
      <c r="N293" s="13"/>
      <c r="O293" s="13"/>
      <c r="P293" s="13"/>
      <c r="Q293" s="13"/>
      <c r="R293" s="13"/>
      <c r="S293" s="13"/>
      <c r="T293" s="13" t="s">
        <v>29</v>
      </c>
      <c r="U293" s="13" t="s">
        <v>31</v>
      </c>
    </row>
    <row r="294">
      <c r="A294" s="13" t="s">
        <v>872</v>
      </c>
      <c r="B294" s="13" t="s">
        <v>873</v>
      </c>
      <c r="C294" s="14">
        <v>8.912766433E10</v>
      </c>
      <c r="D294" s="13" t="s">
        <v>23</v>
      </c>
      <c r="E294" s="13" t="s">
        <v>180</v>
      </c>
      <c r="F294" s="13" t="s">
        <v>625</v>
      </c>
      <c r="G294" s="13" t="s">
        <v>26</v>
      </c>
      <c r="H294" s="14">
        <v>40.0</v>
      </c>
      <c r="I294" s="14">
        <f t="shared" si="14"/>
        <v>0</v>
      </c>
      <c r="J294" s="13" t="s">
        <v>27</v>
      </c>
      <c r="K294" s="13" t="s">
        <v>27</v>
      </c>
      <c r="L294" s="13" t="s">
        <v>39</v>
      </c>
      <c r="M294" s="13" t="s">
        <v>27</v>
      </c>
      <c r="N294" s="13" t="s">
        <v>29</v>
      </c>
      <c r="O294" s="13" t="s">
        <v>31</v>
      </c>
      <c r="P294" s="13" t="s">
        <v>29</v>
      </c>
      <c r="Q294" s="13" t="s">
        <v>30</v>
      </c>
      <c r="R294" s="13"/>
      <c r="S294" s="13"/>
      <c r="T294" s="13" t="s">
        <v>29</v>
      </c>
      <c r="U294" s="13" t="s">
        <v>31</v>
      </c>
    </row>
    <row r="295">
      <c r="A295" s="13" t="s">
        <v>874</v>
      </c>
      <c r="B295" s="13" t="s">
        <v>875</v>
      </c>
      <c r="C295" s="14">
        <v>8.9219672734E10</v>
      </c>
      <c r="D295" s="13" t="s">
        <v>23</v>
      </c>
      <c r="E295" s="13" t="s">
        <v>161</v>
      </c>
      <c r="F295" s="13" t="s">
        <v>161</v>
      </c>
      <c r="G295" s="13" t="s">
        <v>26</v>
      </c>
      <c r="H295" s="14">
        <v>49.0</v>
      </c>
      <c r="I295" s="32">
        <f t="shared" si="14"/>
        <v>0</v>
      </c>
      <c r="J295" s="13" t="s">
        <v>27</v>
      </c>
      <c r="K295" s="13" t="s">
        <v>48</v>
      </c>
      <c r="L295" s="13" t="s">
        <v>48</v>
      </c>
      <c r="M295" s="13" t="s">
        <v>27</v>
      </c>
      <c r="N295" s="13" t="s">
        <v>29</v>
      </c>
      <c r="O295" s="13" t="s">
        <v>31</v>
      </c>
      <c r="P295" s="13"/>
      <c r="Q295" s="13"/>
      <c r="R295" s="13"/>
      <c r="S295" s="13"/>
      <c r="T295" s="13" t="s">
        <v>29</v>
      </c>
      <c r="U295" s="13" t="s">
        <v>31</v>
      </c>
    </row>
    <row r="296">
      <c r="A296" s="13" t="s">
        <v>876</v>
      </c>
      <c r="B296" s="13" t="s">
        <v>877</v>
      </c>
      <c r="C296" s="14">
        <v>8.9235219706E10</v>
      </c>
      <c r="D296" s="13" t="s">
        <v>23</v>
      </c>
      <c r="E296" s="13" t="s">
        <v>878</v>
      </c>
      <c r="F296" s="13" t="s">
        <v>879</v>
      </c>
      <c r="G296" s="13" t="s">
        <v>26</v>
      </c>
      <c r="H296" s="14">
        <v>23.0</v>
      </c>
      <c r="I296" s="14">
        <f t="shared" si="14"/>
        <v>0</v>
      </c>
      <c r="J296" s="13" t="s">
        <v>27</v>
      </c>
      <c r="K296" s="13" t="s">
        <v>27</v>
      </c>
      <c r="L296" s="13" t="s">
        <v>39</v>
      </c>
      <c r="M296" s="13" t="s">
        <v>27</v>
      </c>
      <c r="N296" s="13" t="s">
        <v>29</v>
      </c>
      <c r="O296" s="13" t="s">
        <v>31</v>
      </c>
      <c r="P296" s="13" t="s">
        <v>29</v>
      </c>
      <c r="Q296" s="13" t="s">
        <v>31</v>
      </c>
      <c r="R296" s="13"/>
      <c r="S296" s="13"/>
      <c r="T296" s="13" t="s">
        <v>29</v>
      </c>
      <c r="U296" s="13" t="s">
        <v>31</v>
      </c>
    </row>
  </sheetData>
  <autoFilter ref="$A$1:$AA$296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  <hyperlink r:id="rId89" ref="B244"/>
    <hyperlink r:id="rId90" ref="B246"/>
    <hyperlink r:id="rId91" ref="B249"/>
    <hyperlink r:id="rId92" ref="B251"/>
    <hyperlink r:id="rId93" ref="B253"/>
    <hyperlink r:id="rId94" ref="B256"/>
    <hyperlink r:id="rId95" ref="B257"/>
    <hyperlink r:id="rId96" ref="B258"/>
    <hyperlink r:id="rId97" ref="B260"/>
    <hyperlink r:id="rId98" ref="B262"/>
    <hyperlink r:id="rId99" ref="B263"/>
    <hyperlink r:id="rId100" ref="B266"/>
    <hyperlink r:id="rId101" ref="B268"/>
    <hyperlink r:id="rId102" ref="B269"/>
    <hyperlink r:id="rId103" ref="B270"/>
    <hyperlink r:id="rId104" ref="B271"/>
    <hyperlink r:id="rId105" ref="B272"/>
    <hyperlink r:id="rId106" ref="B276"/>
    <hyperlink r:id="rId107" ref="B278"/>
    <hyperlink r:id="rId108" ref="B282"/>
    <hyperlink r:id="rId109" ref="B288"/>
    <hyperlink r:id="rId110" ref="B293"/>
  </hyperlinks>
  <drawing r:id="rId11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880</v>
      </c>
      <c r="C1" s="21" t="s">
        <v>881</v>
      </c>
      <c r="D1" s="21" t="s">
        <v>882</v>
      </c>
      <c r="E1" s="21" t="s">
        <v>883</v>
      </c>
    </row>
    <row r="2">
      <c r="A2" s="21" t="s">
        <v>40</v>
      </c>
      <c r="B2" s="34" t="s">
        <v>884</v>
      </c>
      <c r="C2" s="34" t="s">
        <v>885</v>
      </c>
      <c r="D2" s="34" t="s">
        <v>886</v>
      </c>
      <c r="E2" s="34" t="s">
        <v>887</v>
      </c>
    </row>
    <row r="3">
      <c r="A3" s="21" t="s">
        <v>29</v>
      </c>
      <c r="B3" s="35" t="s">
        <v>888</v>
      </c>
      <c r="C3" s="35" t="s">
        <v>889</v>
      </c>
      <c r="D3" s="34" t="s">
        <v>890</v>
      </c>
      <c r="E3" s="34" t="s">
        <v>891</v>
      </c>
    </row>
    <row r="5">
      <c r="A5" s="21" t="s">
        <v>32</v>
      </c>
      <c r="B5" s="34" t="s">
        <v>892</v>
      </c>
      <c r="C5" s="34" t="s">
        <v>893</v>
      </c>
      <c r="D5" s="34" t="s">
        <v>894</v>
      </c>
      <c r="E5" s="34" t="s">
        <v>895</v>
      </c>
    </row>
    <row r="6">
      <c r="A6" s="21" t="s">
        <v>30</v>
      </c>
      <c r="B6" s="34" t="s">
        <v>896</v>
      </c>
      <c r="C6" s="34" t="s">
        <v>897</v>
      </c>
      <c r="D6" s="34" t="s">
        <v>898</v>
      </c>
      <c r="E6" s="34" t="s">
        <v>899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900</v>
      </c>
      <c r="B1" s="21" t="s">
        <v>901</v>
      </c>
    </row>
    <row r="2">
      <c r="A2" s="21" t="s">
        <v>40</v>
      </c>
      <c r="B2" s="21" t="s">
        <v>902</v>
      </c>
    </row>
    <row r="3">
      <c r="A3" s="21" t="s">
        <v>29</v>
      </c>
      <c r="B3" s="21" t="s">
        <v>903</v>
      </c>
    </row>
    <row r="5">
      <c r="A5" s="21" t="s">
        <v>32</v>
      </c>
      <c r="B5" s="21" t="s">
        <v>903</v>
      </c>
    </row>
    <row r="6">
      <c r="A6" s="21" t="s">
        <v>30</v>
      </c>
      <c r="B6" s="21" t="s">
        <v>904</v>
      </c>
    </row>
  </sheetData>
  <drawing r:id="rId1"/>
</worksheet>
</file>