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<sst xmlns="http://schemas.openxmlformats.org/spreadsheetml/2006/main" count="240" uniqueCount="107">
  <si>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</si>
  <si>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</si>
  <si>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</si>
  <si>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</si>
  <si>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</si>
  <si>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</si>
  <si>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</si>
  <si>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</si>
  <si>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</si>
  <si>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</si>
  <si>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</si>
  <si>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</si>
  <si>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</si>
  <si>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</si>
  <si>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</si>
  <si>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</si>
  <si>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</si>
  <si>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</si>
  <si>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</si>
  <si>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</si>
  <si>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</si>
  <si>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Дюжаков Эдуард Андреевич</t>
  </si>
  <si>
    <t>h1don@yandex.ru</t>
  </si>
  <si>
    <t>Android</t>
  </si>
  <si>
    <t>Саратовская область</t>
  </si>
  <si>
    <t>Саратов</t>
  </si>
  <si>
    <t>Мужской</t>
  </si>
  <si>
    <t>Да</t>
  </si>
  <si>
    <t>Нет</t>
  </si>
  <si>
    <t>Сценарий 2</t>
  </si>
  <si>
    <t>Без обращения</t>
  </si>
  <si>
    <t>-</t>
  </si>
  <si>
    <t>Сценарий 1</t>
  </si>
  <si>
    <t>Сценарий 4</t>
  </si>
  <si>
    <t>Кузнецова Екатерина Ильдусовна</t>
  </si>
  <si>
    <t>https://t.me/bagira_marks</t>
  </si>
  <si>
    <t>Самарская область</t>
  </si>
  <si>
    <t>Самара</t>
  </si>
  <si>
    <t>Женский</t>
  </si>
  <si>
    <t>Запас</t>
  </si>
  <si>
    <t>Банк</t>
  </si>
  <si>
    <t>Отобрано участников</t>
  </si>
  <si>
    <t>Нужно участников</t>
  </si>
  <si>
    <t>Лобко Ксения Александровна</t>
  </si>
  <si>
    <t>https://t.me/Kseniaa555</t>
  </si>
  <si>
    <t>iOS</t>
  </si>
  <si>
    <t>Рязань</t>
  </si>
  <si>
    <t>Сценарий 5</t>
  </si>
  <si>
    <t>Всего Сбер</t>
  </si>
  <si>
    <t>Молотков Александр Петрович</t>
  </si>
  <si>
    <t>https://t.me/badya_Sandu</t>
  </si>
  <si>
    <t>Тюменская область</t>
  </si>
  <si>
    <t>Тюмень</t>
  </si>
  <si>
    <t>Всего ВТБ</t>
  </si>
  <si>
    <t>Пустограев Илья Олегович</t>
  </si>
  <si>
    <t>t.me/treger78</t>
  </si>
  <si>
    <t>Всего Т-Банк</t>
  </si>
  <si>
    <t>Алексеев Александр Станиславович</t>
  </si>
  <si>
    <t>@alex_stan</t>
  </si>
  <si>
    <t xml:space="preserve">Москва </t>
  </si>
  <si>
    <t>Москва</t>
  </si>
  <si>
    <t>Всего Альфа-банк</t>
  </si>
  <si>
    <t>Митяева Юлия Сергеевна</t>
  </si>
  <si>
    <t>@liya_1612</t>
  </si>
  <si>
    <t xml:space="preserve">Краснодарский край </t>
  </si>
  <si>
    <t>Тихорецк</t>
  </si>
  <si>
    <t>Гриневич Светлана Александровна</t>
  </si>
  <si>
    <t xml:space="preserve">https://t.me/svetagrinn </t>
  </si>
  <si>
    <t xml:space="preserve">Брянск </t>
  </si>
  <si>
    <t>Абрамян Евгений Григорьевич</t>
  </si>
  <si>
    <t>@kestalf</t>
  </si>
  <si>
    <t>Московская область</t>
  </si>
  <si>
    <t>Балашиха</t>
  </si>
  <si>
    <t>Соповская Юлия Вячеславовна</t>
  </si>
  <si>
    <t>@smetankaone</t>
  </si>
  <si>
    <t>Краснодарский край</t>
  </si>
  <si>
    <t>Краснодар</t>
  </si>
  <si>
    <t>Малахов Артем Алексеевич</t>
  </si>
  <si>
    <t>https://t.me/Artxde</t>
  </si>
  <si>
    <t>Алтайский край</t>
  </si>
  <si>
    <t>Барнаул</t>
  </si>
  <si>
    <t>Сбер</t>
  </si>
  <si>
    <t>ВТБ</t>
  </si>
  <si>
    <t>Т-Банк</t>
  </si>
  <si>
    <t>Альфа-банк</t>
  </si>
  <si>
    <t>ссылка 1</t>
  </si>
  <si>
    <t>ссылка 5</t>
  </si>
  <si>
    <t>ссылка 9</t>
  </si>
  <si>
    <t>ссылка 13</t>
  </si>
  <si>
    <t>ссылка 2</t>
  </si>
  <si>
    <t>ссылка 6</t>
  </si>
  <si>
    <t>ссылка 10</t>
  </si>
  <si>
    <t>ссылка 14</t>
  </si>
  <si>
    <t>ссылка 7</t>
  </si>
  <si>
    <t>ссылка 11</t>
  </si>
  <si>
    <t>ссылка 15</t>
  </si>
  <si>
    <t>ссылка 3</t>
  </si>
  <si>
    <t>ссылка 8</t>
  </si>
  <si>
    <t>ссылка 12</t>
  </si>
  <si>
    <t>ссылка 16</t>
  </si>
  <si>
    <t>ссылка 4</t>
  </si>
  <si>
    <t>ссылка 17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</si>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</sst>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1155CC"/>
      <name val="Arial"/>
    </font>
    <font>
      <color theme="1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0" fontId="6" numFmtId="0" xfId="0" applyAlignment="1" applyBorder="1" applyFont="1">
      <alignment readingOrder="0"/>
    </xf>
    <xf borderId="1" fillId="0" fontId="6" numFmtId="0" xfId="0" applyBorder="1" applyFont="1"/>
    <xf borderId="0" fillId="11" fontId="4" numFmtId="0" xfId="0" applyAlignment="1" applyFont="1">
      <alignment vertical="bottom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Kseniaa555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5" Type="http://schemas.openxmlformats.org/officeDocument/2006/relationships/hyperlink" Target="https://t.me/svetagrinn" TargetMode="External"/><Relationship Id="rId6" Type="http://schemas.openxmlformats.org/officeDocument/2006/relationships/hyperlink" Target="https://t.me/Artxde" TargetMode="External"/><Relationship Id="rId7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8.9198366717E10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33.0</v>
      </c>
      <c r="I2" s="14">
        <f t="shared" ref="I2:I12" si="1">COUNTIF(J2:M2, "Да")</f>
        <v>3</v>
      </c>
      <c r="J2" s="13" t="s">
        <v>27</v>
      </c>
      <c r="K2" s="13" t="s">
        <v>28</v>
      </c>
      <c r="L2" s="13" t="s">
        <v>27</v>
      </c>
      <c r="M2" s="13" t="s">
        <v>27</v>
      </c>
      <c r="N2" s="13" t="s">
        <v>29</v>
      </c>
      <c r="O2" s="15" t="s">
        <v>30</v>
      </c>
      <c r="P2" s="16" t="s">
        <v>31</v>
      </c>
      <c r="Q2" s="16" t="s">
        <v>31</v>
      </c>
      <c r="R2" s="15" t="s">
        <v>32</v>
      </c>
      <c r="S2" s="15" t="s">
        <v>33</v>
      </c>
      <c r="T2" s="15" t="s">
        <v>32</v>
      </c>
      <c r="U2" s="15" t="s">
        <v>33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8.9171106075E10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35.0</v>
      </c>
      <c r="I3" s="14">
        <f t="shared" si="1"/>
        <v>2</v>
      </c>
      <c r="J3" s="13" t="s">
        <v>39</v>
      </c>
      <c r="K3" s="13" t="s">
        <v>27</v>
      </c>
      <c r="L3" s="13" t="s">
        <v>27</v>
      </c>
      <c r="M3" s="13" t="s">
        <v>28</v>
      </c>
      <c r="N3" s="13"/>
      <c r="O3" s="15"/>
      <c r="P3" s="15" t="s">
        <v>32</v>
      </c>
      <c r="Q3" s="15" t="s">
        <v>33</v>
      </c>
      <c r="R3" s="15" t="s">
        <v>32</v>
      </c>
      <c r="S3" s="15" t="s">
        <v>33</v>
      </c>
      <c r="T3" s="16" t="s">
        <v>31</v>
      </c>
      <c r="U3" s="16" t="s">
        <v>31</v>
      </c>
      <c r="V3" s="17"/>
      <c r="W3" s="19" t="s">
        <v>40</v>
      </c>
      <c r="X3" s="19" t="s">
        <v>41</v>
      </c>
      <c r="Y3" s="19" t="s">
        <v>42</v>
      </c>
    </row>
    <row r="4">
      <c r="A4" s="13" t="s">
        <v>43</v>
      </c>
      <c r="B4" s="18" t="s">
        <v>44</v>
      </c>
      <c r="C4" s="14">
        <v>8.9105012024E10</v>
      </c>
      <c r="D4" s="13" t="s">
        <v>45</v>
      </c>
      <c r="E4" s="13" t="s">
        <v>46</v>
      </c>
      <c r="F4" s="13" t="s">
        <v>46</v>
      </c>
      <c r="G4" s="13" t="s">
        <v>38</v>
      </c>
      <c r="H4" s="14">
        <v>28.0</v>
      </c>
      <c r="I4" s="14">
        <f t="shared" si="1"/>
        <v>2</v>
      </c>
      <c r="J4" s="13" t="s">
        <v>27</v>
      </c>
      <c r="K4" s="13" t="s">
        <v>39</v>
      </c>
      <c r="L4" s="13" t="s">
        <v>27</v>
      </c>
      <c r="M4" s="13" t="s">
        <v>39</v>
      </c>
      <c r="N4" s="13" t="s">
        <v>29</v>
      </c>
      <c r="O4" s="15" t="s">
        <v>47</v>
      </c>
      <c r="P4" s="15"/>
      <c r="Q4" s="15"/>
      <c r="R4" s="15" t="s">
        <v>29</v>
      </c>
      <c r="S4" s="15" t="s">
        <v>47</v>
      </c>
      <c r="T4" s="15"/>
      <c r="U4" s="15"/>
      <c r="V4" s="20"/>
      <c r="W4" s="21" t="s">
        <v>48</v>
      </c>
      <c r="X4" s="22">
        <f>COUNTIF(J:J, "Да")</f>
        <v>7</v>
      </c>
      <c r="Y4" s="21">
        <v>90.0</v>
      </c>
    </row>
    <row r="5">
      <c r="A5" s="13" t="s">
        <v>49</v>
      </c>
      <c r="B5" s="18" t="s">
        <v>50</v>
      </c>
      <c r="C5" s="14">
        <v>8.9829151333E10</v>
      </c>
      <c r="D5" s="13" t="s">
        <v>23</v>
      </c>
      <c r="E5" s="13" t="s">
        <v>51</v>
      </c>
      <c r="F5" s="13" t="s">
        <v>52</v>
      </c>
      <c r="G5" s="13" t="s">
        <v>26</v>
      </c>
      <c r="H5" s="14">
        <v>48.0</v>
      </c>
      <c r="I5" s="14">
        <f t="shared" si="1"/>
        <v>1</v>
      </c>
      <c r="J5" s="13" t="s">
        <v>39</v>
      </c>
      <c r="K5" s="13" t="s">
        <v>39</v>
      </c>
      <c r="L5" s="13" t="s">
        <v>27</v>
      </c>
      <c r="M5" s="13" t="s">
        <v>28</v>
      </c>
      <c r="N5" s="13"/>
      <c r="O5" s="15"/>
      <c r="P5" s="15"/>
      <c r="Q5" s="15"/>
      <c r="R5" s="15" t="s">
        <v>32</v>
      </c>
      <c r="S5" s="15" t="s">
        <v>33</v>
      </c>
      <c r="T5" s="16" t="s">
        <v>31</v>
      </c>
      <c r="U5" s="16" t="s">
        <v>31</v>
      </c>
      <c r="V5" s="20"/>
      <c r="W5" s="21" t="s">
        <v>53</v>
      </c>
      <c r="X5" s="22">
        <f>COUNTIF(K:K, "Да")</f>
        <v>3</v>
      </c>
      <c r="Y5" s="21">
        <v>90.0</v>
      </c>
    </row>
    <row r="6">
      <c r="A6" s="13" t="s">
        <v>54</v>
      </c>
      <c r="B6" s="18" t="s">
        <v>55</v>
      </c>
      <c r="C6" s="14">
        <v>8.900606158E10</v>
      </c>
      <c r="D6" s="13" t="s">
        <v>23</v>
      </c>
      <c r="E6" s="13" t="s">
        <v>46</v>
      </c>
      <c r="F6" s="13" t="s">
        <v>46</v>
      </c>
      <c r="G6" s="13" t="s">
        <v>26</v>
      </c>
      <c r="H6" s="14">
        <v>26.0</v>
      </c>
      <c r="I6" s="14">
        <f t="shared" si="1"/>
        <v>1</v>
      </c>
      <c r="J6" s="13" t="s">
        <v>27</v>
      </c>
      <c r="K6" s="13" t="s">
        <v>39</v>
      </c>
      <c r="L6" s="13" t="s">
        <v>28</v>
      </c>
      <c r="M6" s="13" t="s">
        <v>28</v>
      </c>
      <c r="N6" s="13" t="s">
        <v>32</v>
      </c>
      <c r="O6" s="15" t="s">
        <v>33</v>
      </c>
      <c r="P6" s="15"/>
      <c r="Q6" s="15"/>
      <c r="R6" s="16" t="s">
        <v>31</v>
      </c>
      <c r="S6" s="16" t="s">
        <v>31</v>
      </c>
      <c r="T6" s="16" t="s">
        <v>31</v>
      </c>
      <c r="U6" s="16" t="s">
        <v>31</v>
      </c>
      <c r="V6" s="20"/>
      <c r="W6" s="21" t="s">
        <v>56</v>
      </c>
      <c r="X6" s="22">
        <f>COUNTIF(L:L, "Да")</f>
        <v>10</v>
      </c>
      <c r="Y6" s="21">
        <v>90.0</v>
      </c>
    </row>
    <row r="7">
      <c r="A7" s="13" t="s">
        <v>57</v>
      </c>
      <c r="B7" s="13" t="s">
        <v>58</v>
      </c>
      <c r="C7" s="14">
        <v>8.9017467378E10</v>
      </c>
      <c r="D7" s="13" t="s">
        <v>45</v>
      </c>
      <c r="E7" s="13" t="s">
        <v>59</v>
      </c>
      <c r="F7" s="13" t="s">
        <v>60</v>
      </c>
      <c r="G7" s="13" t="s">
        <v>26</v>
      </c>
      <c r="H7" s="14">
        <v>33.0</v>
      </c>
      <c r="I7" s="14">
        <f t="shared" si="1"/>
        <v>4</v>
      </c>
      <c r="J7" s="13" t="s">
        <v>27</v>
      </c>
      <c r="K7" s="13" t="s">
        <v>27</v>
      </c>
      <c r="L7" s="13" t="s">
        <v>27</v>
      </c>
      <c r="M7" s="13" t="s">
        <v>27</v>
      </c>
      <c r="N7" s="13" t="s">
        <v>29</v>
      </c>
      <c r="O7" s="15" t="s">
        <v>47</v>
      </c>
      <c r="P7" s="15" t="s">
        <v>29</v>
      </c>
      <c r="Q7" s="15" t="s">
        <v>47</v>
      </c>
      <c r="R7" s="15" t="s">
        <v>29</v>
      </c>
      <c r="S7" s="15" t="s">
        <v>47</v>
      </c>
      <c r="T7" s="15" t="s">
        <v>32</v>
      </c>
      <c r="U7" s="15" t="s">
        <v>33</v>
      </c>
      <c r="V7" s="20"/>
      <c r="W7" s="21" t="s">
        <v>61</v>
      </c>
      <c r="X7" s="22">
        <f>COUNTIF(M:M, "Да")</f>
        <v>5</v>
      </c>
      <c r="Y7" s="21">
        <v>90.0</v>
      </c>
    </row>
    <row r="8">
      <c r="A8" s="13" t="s">
        <v>62</v>
      </c>
      <c r="B8" s="13" t="s">
        <v>63</v>
      </c>
      <c r="C8" s="14">
        <v>8.9375458841E10</v>
      </c>
      <c r="D8" s="13" t="s">
        <v>23</v>
      </c>
      <c r="E8" s="13" t="s">
        <v>64</v>
      </c>
      <c r="F8" s="13" t="s">
        <v>65</v>
      </c>
      <c r="G8" s="13" t="s">
        <v>38</v>
      </c>
      <c r="H8" s="14">
        <v>36.0</v>
      </c>
      <c r="I8" s="14">
        <f t="shared" si="1"/>
        <v>4</v>
      </c>
      <c r="J8" s="13" t="s">
        <v>27</v>
      </c>
      <c r="K8" s="13" t="s">
        <v>27</v>
      </c>
      <c r="L8" s="13" t="s">
        <v>27</v>
      </c>
      <c r="M8" s="13" t="s">
        <v>27</v>
      </c>
      <c r="N8" s="13" t="s">
        <v>29</v>
      </c>
      <c r="O8" s="13" t="s">
        <v>30</v>
      </c>
      <c r="P8" s="13" t="s">
        <v>32</v>
      </c>
      <c r="Q8" s="13" t="s">
        <v>33</v>
      </c>
      <c r="R8" s="13" t="s">
        <v>32</v>
      </c>
      <c r="S8" s="13" t="s">
        <v>33</v>
      </c>
      <c r="T8" s="13" t="s">
        <v>32</v>
      </c>
      <c r="U8" s="13" t="s">
        <v>33</v>
      </c>
    </row>
    <row r="9">
      <c r="A9" s="13" t="s">
        <v>66</v>
      </c>
      <c r="B9" s="18" t="s">
        <v>67</v>
      </c>
      <c r="C9" s="14">
        <v>8.9290220229E10</v>
      </c>
      <c r="D9" s="13" t="s">
        <v>23</v>
      </c>
      <c r="E9" s="14">
        <v>32.0</v>
      </c>
      <c r="F9" s="13" t="s">
        <v>68</v>
      </c>
      <c r="G9" s="13" t="s">
        <v>38</v>
      </c>
      <c r="H9" s="14">
        <v>43.0</v>
      </c>
      <c r="I9" s="14">
        <f t="shared" si="1"/>
        <v>1</v>
      </c>
      <c r="J9" s="13" t="s">
        <v>39</v>
      </c>
      <c r="K9" s="13" t="s">
        <v>28</v>
      </c>
      <c r="L9" s="13" t="s">
        <v>27</v>
      </c>
      <c r="M9" s="13" t="s">
        <v>28</v>
      </c>
      <c r="N9" s="13"/>
      <c r="O9" s="13"/>
      <c r="P9" s="23" t="s">
        <v>31</v>
      </c>
      <c r="Q9" s="23" t="s">
        <v>31</v>
      </c>
      <c r="R9" s="13" t="s">
        <v>32</v>
      </c>
      <c r="S9" s="13" t="s">
        <v>33</v>
      </c>
      <c r="T9" s="23" t="s">
        <v>31</v>
      </c>
      <c r="U9" s="23" t="s">
        <v>31</v>
      </c>
    </row>
    <row r="10">
      <c r="A10" s="13" t="s">
        <v>69</v>
      </c>
      <c r="B10" s="13" t="s">
        <v>70</v>
      </c>
      <c r="C10" s="14">
        <v>8.9152488681E10</v>
      </c>
      <c r="D10" s="13" t="s">
        <v>23</v>
      </c>
      <c r="E10" s="13" t="s">
        <v>71</v>
      </c>
      <c r="F10" s="13" t="s">
        <v>72</v>
      </c>
      <c r="G10" s="13" t="s">
        <v>26</v>
      </c>
      <c r="H10" s="14">
        <v>20.0</v>
      </c>
      <c r="I10" s="14">
        <f t="shared" si="1"/>
        <v>2</v>
      </c>
      <c r="J10" s="13" t="s">
        <v>39</v>
      </c>
      <c r="K10" s="13" t="s">
        <v>39</v>
      </c>
      <c r="L10" s="13" t="s">
        <v>27</v>
      </c>
      <c r="M10" s="13" t="s">
        <v>27</v>
      </c>
      <c r="N10" s="13"/>
      <c r="O10" s="13"/>
      <c r="P10" s="13"/>
      <c r="Q10" s="13"/>
      <c r="R10" s="13" t="s">
        <v>32</v>
      </c>
      <c r="S10" s="13" t="s">
        <v>33</v>
      </c>
      <c r="T10" s="13" t="s">
        <v>32</v>
      </c>
      <c r="U10" s="13" t="s">
        <v>33</v>
      </c>
    </row>
    <row r="11">
      <c r="A11" s="13" t="s">
        <v>73</v>
      </c>
      <c r="B11" s="13" t="s">
        <v>74</v>
      </c>
      <c r="C11" s="14">
        <v>8.9530897291E10</v>
      </c>
      <c r="D11" s="13" t="s">
        <v>45</v>
      </c>
      <c r="E11" s="13" t="s">
        <v>75</v>
      </c>
      <c r="F11" s="13" t="s">
        <v>76</v>
      </c>
      <c r="G11" s="13" t="s">
        <v>38</v>
      </c>
      <c r="H11" s="14">
        <v>39.0</v>
      </c>
      <c r="I11" s="14">
        <f t="shared" si="1"/>
        <v>2</v>
      </c>
      <c r="J11" s="13" t="s">
        <v>27</v>
      </c>
      <c r="K11" s="13" t="s">
        <v>39</v>
      </c>
      <c r="L11" s="13" t="s">
        <v>27</v>
      </c>
      <c r="M11" s="13" t="s">
        <v>28</v>
      </c>
      <c r="N11" s="13" t="s">
        <v>32</v>
      </c>
      <c r="O11" s="13" t="s">
        <v>33</v>
      </c>
      <c r="P11" s="13"/>
      <c r="Q11" s="13"/>
      <c r="R11" s="13" t="s">
        <v>32</v>
      </c>
      <c r="S11" s="13" t="s">
        <v>33</v>
      </c>
      <c r="T11" s="23" t="s">
        <v>31</v>
      </c>
      <c r="U11" s="23" t="s">
        <v>31</v>
      </c>
    </row>
    <row r="12">
      <c r="A12" s="13" t="s">
        <v>77</v>
      </c>
      <c r="B12" s="18" t="s">
        <v>78</v>
      </c>
      <c r="C12" s="14">
        <v>8.9530371763E10</v>
      </c>
      <c r="D12" s="13" t="s">
        <v>23</v>
      </c>
      <c r="E12" s="13" t="s">
        <v>79</v>
      </c>
      <c r="F12" s="13" t="s">
        <v>80</v>
      </c>
      <c r="G12" s="13" t="s">
        <v>26</v>
      </c>
      <c r="H12" s="14">
        <v>22.0</v>
      </c>
      <c r="I12" s="14">
        <f t="shared" si="1"/>
        <v>3</v>
      </c>
      <c r="J12" s="13" t="s">
        <v>27</v>
      </c>
      <c r="K12" s="13" t="s">
        <v>39</v>
      </c>
      <c r="L12" s="13" t="s">
        <v>27</v>
      </c>
      <c r="M12" s="13" t="s">
        <v>27</v>
      </c>
      <c r="N12" s="13" t="s">
        <v>29</v>
      </c>
      <c r="O12" s="13" t="s">
        <v>30</v>
      </c>
      <c r="P12" s="13"/>
      <c r="Q12" s="13"/>
      <c r="R12" s="13" t="s">
        <v>32</v>
      </c>
      <c r="S12" s="13" t="s">
        <v>33</v>
      </c>
      <c r="T12" s="13" t="s">
        <v>32</v>
      </c>
      <c r="U12" s="13" t="s">
        <v>33</v>
      </c>
    </row>
    <row r="14">
      <c r="N14" s="24"/>
      <c r="O14" s="25"/>
      <c r="P14" s="25"/>
      <c r="Q14" s="25"/>
      <c r="R14" s="25"/>
      <c r="S14" s="25"/>
      <c r="T14" s="25"/>
      <c r="U14" s="25"/>
      <c r="V14" s="25"/>
      <c r="W14" s="25"/>
      <c r="Y14" s="25"/>
    </row>
    <row r="15">
      <c r="N15" s="24"/>
      <c r="O15" s="25"/>
      <c r="P15" s="25"/>
      <c r="Q15" s="25"/>
      <c r="R15" s="25"/>
      <c r="S15" s="25"/>
      <c r="T15" s="25"/>
      <c r="U15" s="25"/>
      <c r="V15" s="25"/>
      <c r="W15" s="25"/>
      <c r="Y15" s="25"/>
    </row>
    <row r="16">
      <c r="N16" s="24"/>
      <c r="O16" s="25"/>
      <c r="P16" s="25"/>
      <c r="Q16" s="25"/>
      <c r="R16" s="25"/>
      <c r="S16" s="25"/>
      <c r="T16" s="25"/>
      <c r="U16" s="25"/>
      <c r="V16" s="25"/>
      <c r="W16" s="25"/>
      <c r="Y16" s="25"/>
    </row>
    <row r="17">
      <c r="N17" s="24"/>
      <c r="O17" s="25"/>
      <c r="P17" s="25"/>
      <c r="Q17" s="25"/>
      <c r="R17" s="25"/>
      <c r="S17" s="25"/>
      <c r="T17" s="25"/>
      <c r="U17" s="25"/>
      <c r="V17" s="25"/>
      <c r="W17" s="25"/>
      <c r="Y17" s="25"/>
    </row>
    <row r="18">
      <c r="N18" s="24"/>
      <c r="O18" s="25"/>
      <c r="P18" s="25"/>
      <c r="Q18" s="25"/>
      <c r="R18" s="25"/>
      <c r="S18" s="25"/>
      <c r="T18" s="25"/>
      <c r="U18" s="25"/>
      <c r="V18" s="25"/>
      <c r="W18" s="25"/>
      <c r="Y18" s="25"/>
    </row>
  </sheetData>
  <conditionalFormatting sqref="H19:H20 H23:H26 H28">
    <cfRule type="cellIs" dxfId="0" priority="1" operator="notBetween">
      <formula>18</formula>
      <formula>55</formula>
    </cfRule>
  </conditionalFormatting>
  <conditionalFormatting sqref="I19:I20 I23:I28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7 A29:A996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9"/>
    <hyperlink r:id="rId6" ref="B12"/>
  </hyperlinks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0" t="s">
        <v>81</v>
      </c>
      <c r="C1" s="20" t="s">
        <v>82</v>
      </c>
      <c r="D1" s="20" t="s">
        <v>83</v>
      </c>
      <c r="E1" s="20" t="s">
        <v>84</v>
      </c>
    </row>
    <row r="2">
      <c r="A2" s="20" t="s">
        <v>32</v>
      </c>
      <c r="B2" s="20" t="s">
        <v>85</v>
      </c>
      <c r="C2" s="20" t="s">
        <v>86</v>
      </c>
      <c r="D2" s="20" t="s">
        <v>87</v>
      </c>
      <c r="E2" s="20" t="s">
        <v>88</v>
      </c>
    </row>
    <row r="3">
      <c r="A3" s="20" t="s">
        <v>29</v>
      </c>
      <c r="B3" s="20" t="s">
        <v>89</v>
      </c>
      <c r="C3" s="20" t="s">
        <v>90</v>
      </c>
      <c r="D3" s="20" t="s">
        <v>91</v>
      </c>
      <c r="E3" s="20" t="s">
        <v>92</v>
      </c>
    </row>
    <row r="4">
      <c r="C4" s="20" t="s">
        <v>93</v>
      </c>
      <c r="D4" s="20" t="s">
        <v>94</v>
      </c>
      <c r="E4" s="20" t="s">
        <v>95</v>
      </c>
    </row>
    <row r="5">
      <c r="A5" s="20" t="s">
        <v>33</v>
      </c>
      <c r="B5" s="20" t="s">
        <v>96</v>
      </c>
      <c r="C5" s="20" t="s">
        <v>97</v>
      </c>
      <c r="D5" s="20" t="s">
        <v>98</v>
      </c>
      <c r="E5" s="20" t="s">
        <v>99</v>
      </c>
    </row>
    <row r="6">
      <c r="A6" s="20" t="s">
        <v>47</v>
      </c>
      <c r="B6" s="20" t="s">
        <v>100</v>
      </c>
      <c r="C6" s="20" t="s">
        <v>87</v>
      </c>
      <c r="D6" s="20" t="s">
        <v>88</v>
      </c>
      <c r="E6" s="20" t="s">
        <v>101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0" t="s">
        <v>102</v>
      </c>
      <c r="B1" s="20" t="s">
        <v>103</v>
      </c>
    </row>
    <row r="2">
      <c r="A2" s="20" t="s">
        <v>32</v>
      </c>
      <c r="B2" s="20" t="s">
        <v>104</v>
      </c>
    </row>
    <row r="3">
      <c r="A3" s="20" t="s">
        <v>29</v>
      </c>
      <c r="B3" s="20" t="s">
        <v>105</v>
      </c>
    </row>
    <row r="5">
      <c r="A5" s="20" t="s">
        <v>33</v>
      </c>
      <c r="B5" s="20" t="s">
        <v>105</v>
      </c>
    </row>
    <row r="6">
      <c r="A6" s="20" t="s">
        <v>47</v>
      </c>
      <c r="B6" s="20" t="s">
        <v>106</v>
      </c>
    </row>
  </sheetData>
  <drawing r:id="rId1"/>
</worksheet>
</file>